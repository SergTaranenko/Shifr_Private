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Портфели" sheetId="2" state="visible" r:id="rId4"/>
    <sheet name="Параметры" sheetId="3" state="visible" r:id="rId5"/>
    <sheet name="SBER" sheetId="4" state="visible" r:id="rId6"/>
    <sheet name="PLZL" sheetId="5" state="visible" r:id="rId7"/>
    <sheet name="POSI" sheetId="6" state="visible" r:id="rId8"/>
    <sheet name="PRMD" sheetId="7" state="visible" r:id="rId9"/>
    <sheet name="YDEX" sheetId="8" state="visible" r:id="rId10"/>
    <sheet name="MTSS" sheetId="9" state="visible" r:id="rId11"/>
    <sheet name="GAZP" sheetId="10" state="visible" r:id="rId12"/>
    <sheet name="NLMK" sheetId="11" state="visible" r:id="rId13"/>
    <sheet name="BSPB" sheetId="12" state="visible" r:id="rId14"/>
    <sheet name="Журнал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<sst xmlns="http://schemas.openxmlformats.org/spreadsheetml/2006/main" count="1711" uniqueCount="764">
  <si>
    <t xml:space="preserve">Советник: справедливые цены и сигналы</t>
  </si>
  <si>
    <t xml:space="preserve">Тикер</t>
  </si>
  <si>
    <t xml:space="preserve">Компания</t>
  </si>
  <si>
    <t xml:space="preserve">Метод</t>
  </si>
  <si>
    <t xml:space="preserve">Текущая цена, ₽</t>
  </si>
  <si>
    <t xml:space="preserve">Справедливая, ₽</t>
  </si>
  <si>
    <t xml:space="preserve">Зона покупки ≤, ₽</t>
  </si>
  <si>
    <t xml:space="preserve">Приближается ≥, ₽</t>
  </si>
  <si>
    <t xml:space="preserve">Цена продажи, ₽</t>
  </si>
  <si>
    <t xml:space="preserve">До справедливой</t>
  </si>
  <si>
    <t xml:space="preserve">До продажи</t>
  </si>
  <si>
    <t xml:space="preserve">Статус</t>
  </si>
  <si>
    <t xml:space="preserve">Позиция, шт</t>
  </si>
  <si>
    <t xml:space="preserve">Стоимость, ₽</t>
  </si>
  <si>
    <t xml:space="preserve">Доля</t>
  </si>
  <si>
    <t xml:space="preserve">Справедливая без мира, ₽</t>
  </si>
  <si>
    <t xml:space="preserve">Прибавка от мира, ₽</t>
  </si>
  <si>
    <t xml:space="preserve">SBER</t>
  </si>
  <si>
    <t xml:space="preserve">Сбербанк</t>
  </si>
  <si>
    <t xml:space="preserve">Дивиденды (Гордон)</t>
  </si>
  <si>
    <t xml:space="preserve">PLZL</t>
  </si>
  <si>
    <t xml:space="preserve">Полюс</t>
  </si>
  <si>
    <t xml:space="preserve">EV/EBITDA от золота</t>
  </si>
  <si>
    <t xml:space="preserve">POSI</t>
  </si>
  <si>
    <t xml:space="preserve">Группа Позитив</t>
  </si>
  <si>
    <t xml:space="preserve">P/E на NIC 2027П</t>
  </si>
  <si>
    <t xml:space="preserve">PRMD</t>
  </si>
  <si>
    <t xml:space="preserve">Промомед</t>
  </si>
  <si>
    <t xml:space="preserve">EV/EBITDA 2027П</t>
  </si>
  <si>
    <t xml:space="preserve">YDEX</t>
  </si>
  <si>
    <t xml:space="preserve">Яндекс</t>
  </si>
  <si>
    <t xml:space="preserve">MTSS</t>
  </si>
  <si>
    <t xml:space="preserve">МТС</t>
  </si>
  <si>
    <t xml:space="preserve">Выплаты акционерам (Гордон)</t>
  </si>
  <si>
    <t xml:space="preserve">GAZP</t>
  </si>
  <si>
    <t xml:space="preserve">Газпром</t>
  </si>
  <si>
    <t xml:space="preserve">EV/EBITDA + опционы</t>
  </si>
  <si>
    <t xml:space="preserve">NLMK</t>
  </si>
  <si>
    <t xml:space="preserve">НЛМК</t>
  </si>
  <si>
    <t xml:space="preserve">EV/EBITDA цикла</t>
  </si>
  <si>
    <t xml:space="preserve">BSPB</t>
  </si>
  <si>
    <t xml:space="preserve">Банк Санкт-Петербург</t>
  </si>
  <si>
    <t xml:space="preserve">Итого акции</t>
  </si>
  <si>
    <t xml:space="preserve">Как читать: «ДЕРЖАТЬ» — цена между зоной покупки и сигналом «приближается»; «ЗОНА ПОКУПКИ» — бумага заметно дешевле справедливой; «ПРИБЛИЖАЕТСЯ К ПРОДАЖЕ» / «ЦЕНА ПРОДАЖИ» — повод открыть модель и проверить тезис.</t>
  </si>
  <si>
    <t xml:space="preserve">Справедливая цена считается на листе эмитента. Меняйте синие вводные там — сводка пересчитается сама.</t>
  </si>
  <si>
    <t xml:space="preserve">Это аналитическая модель для ваших решений, а не индивидуальная инвестиционная рекомендация. Сделки бот не совершает.</t>
  </si>
  <si>
    <t xml:space="preserve">Портфели</t>
  </si>
  <si>
    <t xml:space="preserve">Количество и средняя цена — со скриншотов брокеров (синие, обновляйте при сделках). Текущая цена подтягивается со «Сводки».</t>
  </si>
  <si>
    <t xml:space="preserve">Счёт</t>
  </si>
  <si>
    <t xml:space="preserve">Кол-во, шт</t>
  </si>
  <si>
    <t xml:space="preserve">Средняя цена, ₽</t>
  </si>
  <si>
    <t xml:space="preserve">Вложено, ₽</t>
  </si>
  <si>
    <t xml:space="preserve">Результат, ₽</t>
  </si>
  <si>
    <t xml:space="preserve">Результат</t>
  </si>
  <si>
    <t xml:space="preserve">Доля в общем</t>
  </si>
  <si>
    <t xml:space="preserve">ИИС</t>
  </si>
  <si>
    <t xml:space="preserve">Счёт 2</t>
  </si>
  <si>
    <t xml:space="preserve">RUB</t>
  </si>
  <si>
    <t xml:space="preserve">Рубли на счёте</t>
  </si>
  <si>
    <t xml:space="preserve">ИТОГО по всем счетам</t>
  </si>
  <si>
    <t xml:space="preserve">«Вложено» и «Результат» — по средней цене текущих позиций (как показывает брокер), без учёта уже закрытых сделок и дивидендов. Рубли на счёте учтены как вложенные по номиналу (результат 0).</t>
  </si>
  <si>
    <t xml:space="preserve">Глобальные параметры моделей</t>
  </si>
  <si>
    <t xml:space="preserve">Синий — вводные, которые можно менять; жёлтая заливка — главные рычаги. Все модели ссылаются сюда.</t>
  </si>
  <si>
    <t xml:space="preserve">Параметр</t>
  </si>
  <si>
    <t xml:space="preserve">Значение</t>
  </si>
  <si>
    <t xml:space="preserve">Ед.</t>
  </si>
  <si>
    <t xml:space="preserve">Источник / комментарий</t>
  </si>
  <si>
    <t xml:space="preserve">Дата котировок</t>
  </si>
  <si>
    <t xml:space="preserve">Цены в «Сводке» — со скриншотов брокеров 24.10.2026 (сессия выходного дня); дальше обновляет бот.</t>
  </si>
  <si>
    <t xml:space="preserve">Средняя ключевая ставка 2027 (прогноз ЦБ)</t>
  </si>
  <si>
    <t xml:space="preserve">%</t>
  </si>
  <si>
    <t xml:space="preserve">ЦБ 23.10.2026 сохранил ставку 14% и повысил прогноз средней ставки на 2027 до 12,5–13,5% (было 10,5–12,5%); берём середину. Коммерсантъ, 23.10.2026: https://www.kommersant.ru/doc/9059054</t>
  </si>
  <si>
    <t xml:space="preserve">Премия за риск российских акций</t>
  </si>
  <si>
    <t xml:space="preserve">Допущение модели: надбавка за риск акций над безрисковой ставкой; типичный диапазон в оценках инвестдомов 5–7%.</t>
  </si>
  <si>
    <t xml:space="preserve">Доходность 10-летних ОФЗ (для сравнения)</t>
  </si>
  <si>
    <t xml:space="preserve">Длинные ОФЗ 26250–26254 ~16,6% (smart-lab, 23.10.2026); 10-летние 16,46% (Fomag, 18.09.2026). Модель берёт ставку ЦБ на 2027, а не ОФЗ: в ОФЗ заложена рыночная инфляция ~8%, а рост g в моделях — при инфляции ~4–5%. Проверка «по ОФЗ» — на листах SBER и MTSS.</t>
  </si>
  <si>
    <t xml:space="preserve">Базовая требуемая доходность акций</t>
  </si>
  <si>
    <t xml:space="preserve">Ставка + премия. Используется в дивидендных моделях (Сбер, МТС) и как ориентир для мультипликаторов.</t>
  </si>
  <si>
    <t xml:space="preserve">Зона покупки: скидка к справедливой</t>
  </si>
  <si>
    <t xml:space="preserve">Цена ниже справедливой на эту величину — бот шлёт сигнал «зона покупки» (запас прочности долгосрочного инвестора).</t>
  </si>
  <si>
    <t xml:space="preserve">Цена продажи: премия к справедливой</t>
  </si>
  <si>
    <t xml:space="preserve">Продаём не на справедливой цене, а с запасом: хорошая компания растёт вместе с прибылью.</t>
  </si>
  <si>
    <t xml:space="preserve">Порог «приближается к продаже»</t>
  </si>
  <si>
    <t xml:space="preserve">За сколько процентов до цены продажи бот предупреждает заранее.</t>
  </si>
  <si>
    <t xml:space="preserve">Курс USD/RUB (прогноз на горизонт оценки)</t>
  </si>
  <si>
    <t xml:space="preserve">₽</t>
  </si>
  <si>
    <t xml:space="preserve">Курс ЦБ на 24.10.2026 — 80,54 ₽; опрос аналитиков ЦБ (октябрь 2026): средний курс 2027 — 89,4 ₽. Берём 85 ₽ — середину. Влияет на Полюс и газовые опционы Газпрома.</t>
  </si>
  <si>
    <t xml:space="preserve">Цена золота (прогноз на горизонт оценки)</t>
  </si>
  <si>
    <t xml:space="preserve">$/унц</t>
  </si>
  <si>
    <t xml:space="preserve">Спот 23–24.10.2026 ~3 995 $/унц (пик ~5 595 $ в январе 2026). Берём 3 800 $ — ниже спота, с запасом. Ключевая вводная для Полюса.</t>
  </si>
  <si>
    <t xml:space="preserve">Мир: вероятность мира и снятия всех санкций</t>
  </si>
  <si>
    <t xml:space="preserve">Решение пользователя (25.10.2026): 50% — мир и снятие всех санкций в течение 5 лет. Прибавка от мира пропорциональна вероятности.</t>
  </si>
  <si>
    <t xml:space="preserve">Мир: лет до снятия санкций</t>
  </si>
  <si>
    <t xml:space="preserve">лет</t>
  </si>
  <si>
    <t xml:space="preserve">К этому году рынок возвращается к оценкам компаний до 2022 года. Прибавка к цене приводится к сегодняшнему дню по ставке эмитента.</t>
  </si>
  <si>
    <t xml:space="preserve">ИИ: рынок генеративного ИИ в РФ в 2030</t>
  </si>
  <si>
    <t xml:space="preserve">млрд ₽</t>
  </si>
  <si>
    <t xml:space="preserve">Onside / Just AI (февраль 2026): 58 млрд в 2025 → 778 млрд в 2030 (+68% в год); Just AI — заинтересованная сторона. AIANA (август 2026): весь рынок ИИ с оборудованием 316 млрд в 2025 → 830 млрд в 2030 (база), 1 120 млрд (оптимистичный). Иностранные модели в РФ ограничены — рынок делят российские игроки (Яндекс, Сбер, МТС, VK, Т-Банк).</t>
  </si>
  <si>
    <t xml:space="preserve">ИИ: лет до 2030</t>
  </si>
  <si>
    <t xml:space="preserve">ИИ-бизнес оценивается на 2030 год и дисконтируется к сегодняшнему дню по ставке эмитента.</t>
  </si>
  <si>
    <t xml:space="preserve">ИИ: OpenAI — оценка / годовая выручка</t>
  </si>
  <si>
    <t xml:space="preserve">x</t>
  </si>
  <si>
    <t xml:space="preserve">Переговоры о раунде при оценке ~$1,4 трлн (Bloomberg, сентябрь 2026) / годовой темп выручки ~$50 млрд (Axios, октябрь 2026). Последний закрытый раунд — $852 млрд (март 2026). Компания убыточна: операционный убыток $20,9 млрд в 2025.</t>
  </si>
  <si>
    <t xml:space="preserve">ИИ: Anthropic — оценка / годовая выручка</t>
  </si>
  <si>
    <t xml:space="preserve">$965 млрд (раунд серии H, май 2026) / годовой темп выручки $65 млрд (июль 2026, Bloomberg/CNBC).</t>
  </si>
  <si>
    <t xml:space="preserve">ИИ: Alphabet — капитализация / выручка 2026П</t>
  </si>
  <si>
    <t xml:space="preserve">$3,88 трлн (24.10.2026, companiesmarketcap) / ~$480 млрд выручки 2026П (1К $109,9 млрд, 2К $119,8 млрд, рост 24%).</t>
  </si>
  <si>
    <t xml:space="preserve">ИИ: мультипликатор лидеров (среднее трёх)</t>
  </si>
  <si>
    <t xml:space="preserve">Стоимость компании, делённая на годовую выручку. Применяется к ИИ-выручке Яндекса, Сбера и МТС в 2030 году.</t>
  </si>
  <si>
    <t xml:space="preserve">ИИ: поправка на стоимость денег в РФ</t>
  </si>
  <si>
    <t xml:space="preserve">1,0 — российский ИИ-бизнес оценивается так же, как OpenAI, Anthropic и Alphabet (допущение пользователя). Остальной бизнес тех же компаний рынок РФ оценивает примерно в 5 раз дешевле американских аналогов (строка ниже). Поставьте 0,2, чтобы увидеть консервативный вариант.</t>
  </si>
  <si>
    <t xml:space="preserve">Для сравнения: скидка рынка РФ к США</t>
  </si>
  <si>
    <t xml:space="preserve">Яндекс ~3,7x EV/EBITDA 2026П против ~19–20x у Alphabet (капитализация $3,88 трлн, EBITDA 2026П ~$195 млрд — оценка). Используется только в строках проверки.</t>
  </si>
  <si>
    <t xml:space="preserve">SBER — Сбербанк: модель справедливой стоимости</t>
  </si>
  <si>
    <t xml:space="preserve">Метод: дивидендная модель (формула Гордона)</t>
  </si>
  <si>
    <t xml:space="preserve">Банк платит 50% прибыли, поэтому стоимость акции = будущий дивиденд / (требуемая доходность − рост дивиденда). Проверка — P/E при справедливой цене против исторической нормы Сбера 4–6x.</t>
  </si>
  <si>
    <t xml:space="preserve">Синий — вводные (меняйте их), чёрный — формулы, зелёный — ссылки на другие листы, жёлтый — главные рычаги модели.</t>
  </si>
  <si>
    <t xml:space="preserve">Показатель</t>
  </si>
  <si>
    <t xml:space="preserve">ВВОДНЫЕ</t>
  </si>
  <si>
    <t xml:space="preserve">Чистая прибыль 2026П (МСФО)</t>
  </si>
  <si>
    <t xml:space="preserve">9М 2026 РСБУ: 1 501 млрд (+18,2% г/г), ROE 23,0% (Reuters, 09.10.2026); 1П 2026 МСФО: 1 019 млрд; цель менеджмента ROE 22%; аналитики ждут 1,9–2,0 трлн.</t>
  </si>
  <si>
    <t xml:space="preserve">Доля прибыли на дивиденды</t>
  </si>
  <si>
    <t xml:space="preserve">Дивполитика: 50% прибыли МСФО; сохраняется в стратегии 2027–2029.</t>
  </si>
  <si>
    <t xml:space="preserve">Акций всего (обыкн. + преф.)</t>
  </si>
  <si>
    <t xml:space="preserve">млрд шт</t>
  </si>
  <si>
    <t xml:space="preserve">21,587 млрд обыкн. + 1,0 млрд преф. Сверка: дивиденды за 2025 = 850,2 млрд ₽ / 37,64 ₽ = 22,59 млрд.</t>
  </si>
  <si>
    <t xml:space="preserve">Базовая требуемая доходность</t>
  </si>
  <si>
    <t xml:space="preserve">Из «Параметров»: ставка ЦБ 2027 + премия за риск акций.</t>
  </si>
  <si>
    <t xml:space="preserve">Премия за специфический риск</t>
  </si>
  <si>
    <t xml:space="preserve">Сбер — эталон рынка, дополнительная премия не нужна.</t>
  </si>
  <si>
    <t xml:space="preserve">Долгосрочный рост дивиденда</t>
  </si>
  <si>
    <t xml:space="preserve">Номинальный рост: инфляция в долгую ~4–5% + реальный рост бизнеса ~3–4%.</t>
  </si>
  <si>
    <t xml:space="preserve">Из «Параметров».</t>
  </si>
  <si>
    <t xml:space="preserve">ИИ: доля компании на рынке в 2030</t>
  </si>
  <si>
    <t xml:space="preserve">GigaChat — лидер в банках, страховании и госсекторе (банки и страхование — 20% рынка генИИ), облако Cloud.ru. Вместе с Яндексом делят большую часть рынка. Оценка модели.</t>
  </si>
  <si>
    <t xml:space="preserve">ИИ: мультипликатор лидеров (оценка / выручка)</t>
  </si>
  <si>
    <t xml:space="preserve">Из «Параметров»: среднее OpenAI, Anthropic, Alphabet.</t>
  </si>
  <si>
    <t xml:space="preserve">Из «Параметров»: 1,0 — как у американских лидеров.</t>
  </si>
  <si>
    <t xml:space="preserve">Мир: вероятность мира и снятия санкций</t>
  </si>
  <si>
    <t xml:space="preserve">Мир: P/E как до 2022 года</t>
  </si>
  <si>
    <t xml:space="preserve">P/E Сбера в 2017–2021 был ~5–7x (2019 ~6,7x, 2021 ~5x). Применяется к прибыли 2026П.</t>
  </si>
  <si>
    <t xml:space="preserve">Мир: рост показателя до года мира, % в год</t>
  </si>
  <si>
    <t xml:space="preserve">Как рост дивиденда.</t>
  </si>
  <si>
    <t xml:space="preserve">РАСЧЁТ</t>
  </si>
  <si>
    <t xml:space="preserve">Дивиденд за 2026 (выплата летом 2027)</t>
  </si>
  <si>
    <t xml:space="preserve">₽/акц.</t>
  </si>
  <si>
    <t xml:space="preserve">Требуемая доходность</t>
  </si>
  <si>
    <t xml:space="preserve">Справедливая дивдоходность (r − g)</t>
  </si>
  <si>
    <t xml:space="preserve">Базовая цена = дивиденд / (r − g)</t>
  </si>
  <si>
    <t xml:space="preserve">Банк без отдельной оценки ИИ.</t>
  </si>
  <si>
    <t xml:space="preserve">ИИ: выручка компании в 2030</t>
  </si>
  <si>
    <t xml:space="preserve">ИИ: стоимость ИИ-бизнеса в 2030</t>
  </si>
  <si>
    <t xml:space="preserve">Выручка × мультипликатор лидеров × поправка РФ.</t>
  </si>
  <si>
    <t xml:space="preserve">ИИ: стоимость сегодня (дисконт до 2030)</t>
  </si>
  <si>
    <t xml:space="preserve">ИИ: прибавка к цене акции</t>
  </si>
  <si>
    <t xml:space="preserve">Справедливая цена без мира</t>
  </si>
  <si>
    <t xml:space="preserve">Мир: цена в мирном режиме на сегодняшних показателях</t>
  </si>
  <si>
    <t xml:space="preserve">Если бы рынок уже сегодня оценивал компанию как до 2022 года. Без ИИ-блока.</t>
  </si>
  <si>
    <t xml:space="preserve">Мир: прибавка к цене сегодня</t>
  </si>
  <si>
    <t xml:space="preserve">Вероятность × разница цен × рост показателя до года мира, приведённый к сегодняшнему дню.</t>
  </si>
  <si>
    <t xml:space="preserve">Справедливая цена с миром</t>
  </si>
  <si>
    <t xml:space="preserve">РЕЗУЛЬТАТ</t>
  </si>
  <si>
    <t xml:space="preserve">Справедливая цена</t>
  </si>
  <si>
    <t xml:space="preserve">Главный вывод модели</t>
  </si>
  <si>
    <t xml:space="preserve">Текущая цена</t>
  </si>
  <si>
    <t xml:space="preserve">Берётся со «Сводки» (столбец D)</t>
  </si>
  <si>
    <t xml:space="preserve">Зона покупки: цена не выше</t>
  </si>
  <si>
    <t xml:space="preserve">Справедливая минус скидка из «Параметров»</t>
  </si>
  <si>
    <t xml:space="preserve">Цена продажи</t>
  </si>
  <si>
    <t xml:space="preserve">Справедливая плюс премия из «Параметров»</t>
  </si>
  <si>
    <t xml:space="preserve">Сигнал «приближается к продаже» от</t>
  </si>
  <si>
    <t xml:space="preserve">За сколько % до цены продажи бот предупреждает</t>
  </si>
  <si>
    <t xml:space="preserve">Потенциал до справедливой</t>
  </si>
  <si>
    <t xml:space="preserve">До цены продажи</t>
  </si>
  <si>
    <t xml:space="preserve">Слом тезиса — отдельный сигнал, см. ниже</t>
  </si>
  <si>
    <t xml:space="preserve">ПЕРЕКРЁСТНАЯ ПРОВЕРКА</t>
  </si>
  <si>
    <t xml:space="preserve">Доля ИИ в справедливой цене</t>
  </si>
  <si>
    <t xml:space="preserve">ИИ-прибавка при скидке рынка РФ к США</t>
  </si>
  <si>
    <t xml:space="preserve">Если ИИ-бизнес рынок оценит с той же скидкой к американским аналогам, что и весь Яндекс (~0,2).</t>
  </si>
  <si>
    <t xml:space="preserve">Справедливая цена при этой скидке</t>
  </si>
  <si>
    <t xml:space="preserve">Консервативный ориентир.</t>
  </si>
  <si>
    <t xml:space="preserve">Прибыль на акцию 2026П</t>
  </si>
  <si>
    <t xml:space="preserve">P/E базовой цены (без ИИ)</t>
  </si>
  <si>
    <t xml:space="preserve">Историческая норма Сбера — 4–6x. Выше 6x — модель, скорее всего, слишком оптимистична.</t>
  </si>
  <si>
    <t xml:space="preserve">P/E при текущей цене</t>
  </si>
  <si>
    <t xml:space="preserve">Дивдоходность к текущей цене</t>
  </si>
  <si>
    <t xml:space="preserve">Базовая цена (без ИИ), если ставка = длинные ОФЗ + премия</t>
  </si>
  <si>
    <t xml:space="preserve">Строгий вариант: рост g прежний, а ставка — по рынку длинных ОФЗ. Если верите рынку, а не прогнозу ЦБ, ориентир для базовой части — эта цифра.</t>
  </si>
  <si>
    <t xml:space="preserve">Доходность, которую закладывает текущая цена (D/P + g)</t>
  </si>
  <si>
    <t xml:space="preserve">Сравните с длинными ОФЗ 16,6%.</t>
  </si>
  <si>
    <t xml:space="preserve">ЧУВСТВИТЕЛЬНОСТЬ СПРАВЕДЛИВОЙ ЦЕНЫ, ₽: строки — рост дивиденда, столбцы — прибыль 2026П, млрд ₽</t>
  </si>
  <si>
    <t xml:space="preserve">рост дивиденда \ прибыль 2026П, млрд ₽</t>
  </si>
  <si>
    <t xml:space="preserve">Центр таблицы (жёлтая ячейка) = базовый сценарий; должен совпадать со справедливой ценой.</t>
  </si>
  <si>
    <t xml:space="preserve">ЧУВСТВИТЕЛЬНОСТЬ СПРАВЕДЛИВОЙ ЦЕНЫ, ₽: строки — доля Сбера на рынке ИИ, столбцы — рынок генИИ в РФ 2030, млрд ₽</t>
  </si>
  <si>
    <t xml:space="preserve">доля Сбера на рынке ИИ \ рынок генИИ в РФ 2030, млрд ₽</t>
  </si>
  <si>
    <t xml:space="preserve">ТЕЗИС И УСЛОВИЯ ЕГО СЛОМА (сигнал при любой цене)</t>
  </si>
  <si>
    <t xml:space="preserve">Тезис: Крупнейший банк страны с ROE 22–24% и выплатой половины прибыли. Рынок оценивает его в 3–3,5 годовые прибыли из‑за высоких ставок и геополитики; по мере снижения ставки оценка нормализуется к 4,5–5 прибылям, а пока вы ждёте — получаете ~14% дивидендами. Сверху — GigaChat: если российский ИИ-рынок достанется своим игрокам и будет оценён как OpenAI и Google, Сбер получает долю монополиста.</t>
  </si>
  <si>
    <t xml:space="preserve">• ROE ниже 18% два квартала подряд</t>
  </si>
  <si>
    <t xml:space="preserve">• Отказ от выплаты 50% прибыли по МСФО или перенос дивидендов</t>
  </si>
  <si>
    <t xml:space="preserve">• Стоимость риска выше 2% (ориентир банка — до 1,4%)</t>
  </si>
  <si>
    <t xml:space="preserve">• Допэмиссия или разовые изъятия в бюджет сверх налогов</t>
  </si>
  <si>
    <t xml:space="preserve">ЧТО ОТСЛЕЖИВАЕТ БОТ В НОВОСТЯХ</t>
  </si>
  <si>
    <t xml:space="preserve">• Ежемесячная РСБУ (прибыль, ROE) → вводная «Чистая прибыль 2026П»</t>
  </si>
  <si>
    <t xml:space="preserve">• Квартальная МСФО и прогноз менеджмента на год</t>
  </si>
  <si>
    <t xml:space="preserve">• Решения ЦБ по ставке и его прогноз ставки → лист «Параметры»</t>
  </si>
  <si>
    <t xml:space="preserve">• Рекомендация набсовета по дивидендам (весна 2027)</t>
  </si>
  <si>
    <t xml:space="preserve">• GigaChat: выручка, доля на рынке, крупные B2B-контракты → вводная «доля на рынке ИИ»</t>
  </si>
  <si>
    <t xml:space="preserve">ИСТОЧНИКИ</t>
  </si>
  <si>
    <t xml:space="preserve">Reuters / The Moscow Times, 09.10.2026 — прибыль Сбера по РСБУ за 9М 2026: https://ru.themoscowtimes.com/2026/10/09/chistaya-pribyl-sberbanka-po-rsbu-za-9-mes-prevysila15-trln-r-a208184</t>
  </si>
  <si>
    <t xml:space="preserve">InvestFuture — CFO о цели ROE 22% и рекорде прибыли 2026: https://investfuture.ru/articles/sberbank-ozhidaet-rekordnuyu-pribyl-v-2026-godu-no-ne-prognoziruet-2-trln-rubley-1183799726</t>
  </si>
  <si>
    <t xml:space="preserve">Smart-Lab — 1П 2026 МСФО, стратегия 2027–2029 с выплатой 50%: https://smart-lab.ru/blog/1336096.php</t>
  </si>
  <si>
    <t xml:space="preserve">Финуслуги — прогнозы прибыли и дивидендов аналитиков: https://finuslugi.ru/navigator/investirovat/stat_sberbank-gotovitsya-k-novym-rekordnym-dividendam-v-2027-godu-prognozy-vyplat-i-tselevye-tseny-aktsiy</t>
  </si>
  <si>
    <t xml:space="preserve">InvestFuture — дивиденд за 2025 год 37,64 ₽: https://investfuture.ru/quotes/stocks-sberp</t>
  </si>
  <si>
    <t xml:space="preserve">Kommersant / Hi-Tech Mail, 10.08.2026 — рынок ИИ в РФ 316 млрд, прогноз 830 млрд к 2030 (AIANA): https://hi-tech.mail.ru/news/152822-rossiiskii-rynok-ii-dostig-316-mlrd-rublei-udvoilsya/</t>
  </si>
  <si>
    <t xml:space="preserve">Just AI / Onside — рынок генеративного ИИ 58 млрд (2025) → 778 млрд (2030): https://just-ai.com/blog/rossijskij-rynok-genai-vyrastet-do-778-mlrd-rub-k-kontsu-2030-goda</t>
  </si>
  <si>
    <t xml:space="preserve">Exploding Topics — выручка и оценка OpenAI (октябрь 2026): https://explodingtopics.com/blog/openai-revenue</t>
  </si>
  <si>
    <t xml:space="preserve">ValueAdd VC — выручка и оценка Anthropic: https://valueaddvc.com/blog/anthropic-revenue-hits-47b-run-rate-how-it-passed-openai-in-just-five-months</t>
  </si>
  <si>
    <t xml:space="preserve">PLZL — Полюс: модель справедливой стоимости</t>
  </si>
  <si>
    <t xml:space="preserve">Метод: EV/EBITDA 2027 от цены золота, себестоимости и курса, с дисконтом за паузу дивидендов</t>
  </si>
  <si>
    <t xml:space="preserve">EBITDA = добыча × (цена золота − денежная себестоимость TCC) − прочие расходы, в рублях по курсу, минус постоянные новые налоги. Стоимость = EBITDA × мультипликатор − чистый долг − разовый налог, минус дисконт за паузу дивидендов до 2030 и урезанную отчётность. Делим на акции в обращении (без 408 млн акций у дочерней компании).</t>
  </si>
  <si>
    <t xml:space="preserve">Производство золота 2027</t>
  </si>
  <si>
    <t xml:space="preserve">тыс. унц</t>
  </si>
  <si>
    <t xml:space="preserve">Гайденс 2026 и 2027: 2,5–2,6 млн унций (Коммерсантъ); 2025: 2 529 тыс. унций.</t>
  </si>
  <si>
    <t xml:space="preserve">Цена золота</t>
  </si>
  <si>
    <t xml:space="preserve">Денежная себестоимость TCC</t>
  </si>
  <si>
    <t xml:space="preserve">2025: $739; 1П 2026: $1 069 (+64%); прогноз 2026: $990–1 040 при золоте $4 000 (растёт вместе с ценой из‑за НДПИ).</t>
  </si>
  <si>
    <t xml:space="preserve">Прочие расходы, % выручки</t>
  </si>
  <si>
    <t xml:space="preserve">2025: выручка $8 723 млн − TCC × продажи ≈ $6 850 млн против EBITDA $6 347 млн → ~6%.</t>
  </si>
  <si>
    <t xml:space="preserve">Курс USD/RUB</t>
  </si>
  <si>
    <t xml:space="preserve">Постоянные новые налоги в год (НДПИ)</t>
  </si>
  <si>
    <t xml:space="preserve">Сообщения противоречат друг другу: Т-Инвестиции оценивали рост НДПИ на золото в ~30 млрд за 2 года, Fomag пишет, что повышение не предлагается. Если подтвердится — поставьте ~15.</t>
  </si>
  <si>
    <t xml:space="preserve">Разовый налог на сверхдоходы за 2026</t>
  </si>
  <si>
    <t xml:space="preserve">Законопроект Минфина (Интерфакс, 24.09.2026): 20% для золотодобытчиков с доходов 2026 года сверх базы 2025. БКС: ~25 млрд ₽ для Полюса. Разовый — вычитается как долг, а не из EBITDA каждого года.</t>
  </si>
  <si>
    <t xml:space="preserve">Справедливый EV/EBITDA</t>
  </si>
  <si>
    <t xml:space="preserve">Исторически Полюс стоил 6x+ как самый дешёвый производитель в мире; сейчас рынок даёт ~3x.</t>
  </si>
  <si>
    <t xml:space="preserve">Чистый долг</t>
  </si>
  <si>
    <t xml:space="preserve">31.12.2025: 554,6 млрд (1,1x); на 30.06.2026 Велес оценивает $7,5 млрд. Капзатраты $2,2–2,5 млрд в год и Сухой Лог (~$6 млрд) не дают долгу снижаться.</t>
  </si>
  <si>
    <t xml:space="preserve">Дисконт за паузу дивидендов и прозрачность</t>
  </si>
  <si>
    <t xml:space="preserve">08.07.2026 менеджмент рекомендовал не платить дивиденды до 2030 (−25% за день); с 1П 2026 отчётность урезана, EBITDA не раскрывается.</t>
  </si>
  <si>
    <t xml:space="preserve">Акций в обращении</t>
  </si>
  <si>
    <t xml:space="preserve">млн шт</t>
  </si>
  <si>
    <t xml:space="preserve">Выпущено 1 360,7 млн, из них ~408 млн выкуплены дочерней «Полюс Красноярск» в 2023. Сверка: дивиденд 54 млрд ₽ / 56,8 ₽ = ~951 млн.</t>
  </si>
  <si>
    <t xml:space="preserve">Ставка дисконтирования</t>
  </si>
  <si>
    <t xml:space="preserve">Мир: EV/EBITDA как до 2022 года</t>
  </si>
  <si>
    <t xml:space="preserve">В 2019–2021 Полюс стоил ~7–9x EBITDA. Дисконт за паузу дивидендов сохраняем — мир его не отменяет.</t>
  </si>
  <si>
    <t xml:space="preserve">Сухой Лог удваивает добычу к ~2030.</t>
  </si>
  <si>
    <t xml:space="preserve">Выручка 2027П</t>
  </si>
  <si>
    <t xml:space="preserve">EBITDA до новых налогов</t>
  </si>
  <si>
    <t xml:space="preserve">EBITDA 2027П</t>
  </si>
  <si>
    <t xml:space="preserve">Справедливая стоимость бизнеса (EV)</t>
  </si>
  <si>
    <t xml:space="preserve">Капитал до дисконта</t>
  </si>
  <si>
    <t xml:space="preserve">Капитал после дисконта</t>
  </si>
  <si>
    <t xml:space="preserve">Если бы рынок уже сегодня оценивал компанию как до 2022 года.</t>
  </si>
  <si>
    <t xml:space="preserve">EV/EBITDA 2027П при текущей цене</t>
  </si>
  <si>
    <t xml:space="preserve">Капитализация считается на акции в обращении.</t>
  </si>
  <si>
    <t xml:space="preserve">Чистый долг / EBITDA</t>
  </si>
  <si>
    <t xml:space="preserve">Для сравнения: EBITDA 2025</t>
  </si>
  <si>
    <t xml:space="preserve">$6 347 млн (Полюс, март 2026).</t>
  </si>
  <si>
    <t xml:space="preserve">Цель Велес Капитала</t>
  </si>
  <si>
    <t xml:space="preserve">Август–сентябрь 2026, «покупать»; БКС 21.10.2026 — идея на понижение с целью 1 000 ₽.</t>
  </si>
  <si>
    <t xml:space="preserve">ЧУВСТВИТЕЛЬНОСТЬ СПРАВЕДЛИВОЙ ЦЕНЫ, ₽: строки — золото, $/унц, столбцы — курс USD/RUB</t>
  </si>
  <si>
    <t xml:space="preserve">золото, $/унц \ курс USD/RUB</t>
  </si>
  <si>
    <t xml:space="preserve">Тезис: Самый дешёвый крупный производитель золота в мире, Сухой Лог к 2030 удвоит добычу. Защита портфеля от ослабления рубля и обесценения денег. Но в 2026 кейс испорчен: дивиденды заморожены до 2030, отчётность урезана, золото откатилось от январского пика, растут налоги — отсюда −54% с начала года.</t>
  </si>
  <si>
    <t xml:space="preserve">• Формальная отмена дивполитики или оферта/выкуп миноритариев ниже справедливой цены</t>
  </si>
  <si>
    <t xml:space="preserve">• Запуск Сухого Лога сдвигается за 2030 год</t>
  </si>
  <si>
    <t xml:space="preserve">• TCC выше $1 300/унц при золоте ниже $4 000</t>
  </si>
  <si>
    <t xml:space="preserve">• Постоянное повышение налогов (НДПИ) больше 30 млрд ₽ в год или ЧД/EBITDA выше 2,5x</t>
  </si>
  <si>
    <t xml:space="preserve">• Цена золота и курс рубля (меняйте на листе «Параметры»)</t>
  </si>
  <si>
    <t xml:space="preserve">• Налог на сверхдоходы горняков и НДПИ на золото: итоговые ставки</t>
  </si>
  <si>
    <t xml:space="preserve">• Операционные результаты за 9М 2026 и годовая МСФО (ожидается 05.03.2027)</t>
  </si>
  <si>
    <t xml:space="preserve">• Любые решения по дивидендам и структуре акционеров</t>
  </si>
  <si>
    <t xml:space="preserve">The Moscow Times, 16.03.2026 — EBITDA 2025: https://ru.themoscowtimes.com/2026/03/16/polyus-v-25g-uvelichil-ebitda-na-12-nesmotrya-na-padenie-prodazh-na-fone-zolotogo-ralli-a189785</t>
  </si>
  <si>
    <t xml:space="preserve">The Moscow Times, 31.08.2026 — прибыль 1П 2026 −59%: https://ru.themoscowtimes.com/2026/08/31/pribyl-polyusa-upala-v-1-pol-na-59-gg-a204848</t>
  </si>
  <si>
    <t xml:space="preserve">The Moscow Times, 08.07.2026 — заморозка дивидендов до 2030: https://ru.themoscowtimes.com/2026/07/08/update-1-menedzhment-polyusa-rekomenduet-zamorozit-dividendy-do-30g-a200250</t>
  </si>
  <si>
    <t xml:space="preserve">Fomag — отсутствие прозрачности и дивидендная пауза: https://fomag.ru/news/polyus-otsutstvie-prozrachnosti-i-dividendnaya-pauza-menyayut-investitsionnyy-keys-daydzhest-fomag/</t>
  </si>
  <si>
    <t xml:space="preserve">The Moscow Times, 2023 — выкуп 30% акций дочерней компанией: https://ru.themoscowtimes.com/2023/07/10/update-1-polyus-vykupit-okolo-30-aktsiy-na-63-mlrd-a48419</t>
  </si>
  <si>
    <t xml:space="preserve">investmint — дивиденды и новости: https://investmint.ru/plzl/divs/</t>
  </si>
  <si>
    <t xml:space="preserve">POSI — Группа Позитив: модель справедливой стоимости</t>
  </si>
  <si>
    <t xml:space="preserve">Метод: P/E на прогноз скорректированной прибыли (NIC) 2027 года</t>
  </si>
  <si>
    <t xml:space="preserve">Positive платит дивиденды из NIC — чистой прибыли с поправкой на капитализированные расходы. Стоимость = NIC 2027 × справедливый P/E / число акций. NIC строим от оплаченных отгрузок — главного показателя компании.</t>
  </si>
  <si>
    <t xml:space="preserve">Оплаченные отгрузки 2026П</t>
  </si>
  <si>
    <t xml:space="preserve">Гайденс 40–45 млрд (подтверждён 27.07 и 16.10.2026); 1П: 10,7 млрд (+45%), прогноз 3К 6,75 млрд → на 4 кв. для 41 млрд нужно 23,6 млрд (57% года; в 2025 было ~65%). Берём нижнюю половину: в 2025 предварительные 35 млрд стали 33,6.</t>
  </si>
  <si>
    <t xml:space="preserve">Рост отгрузок 2027</t>
  </si>
  <si>
    <t xml:space="preserve">Рынок ИБ растёт в 3–4 раза быстрее ИТ; воронка продаж &gt;60 млрд ₽ (июль 2026). Берём 20% — ниже роста 2025 (+40%).</t>
  </si>
  <si>
    <t xml:space="preserve">Маржа NIC к отгрузкам</t>
  </si>
  <si>
    <t xml:space="preserve">2025: 8% (2,7 / 33,6 млрд); цель компании — приблизиться к 30%; расходы 2026 заморожены на уровне 2025. Берём 20%.</t>
  </si>
  <si>
    <t xml:space="preserve">Справедливый P/E</t>
  </si>
  <si>
    <t xml:space="preserve">Требуемая доходность 19% и выплата 50–100% NIC дают ~8x для зрелого бизнеса; +2x за рост 20% в ближайшие годы.</t>
  </si>
  <si>
    <t xml:space="preserve">Сверка: дивиденд 1 999,7 млн ₽ / 28,08 ₽ = 71,214 млн акций; × 1176 ₽ = 83,8 млрд ₽.</t>
  </si>
  <si>
    <t xml:space="preserve">Чистый долг (для проверки)</t>
  </si>
  <si>
    <t xml:space="preserve">На 30.06.2026, ЧД/EBITDA LTM 0,8x (год назад 2,33x); весь долг — облигации.</t>
  </si>
  <si>
    <t xml:space="preserve">Мир: P/E после снятия санкций</t>
  </si>
  <si>
    <t xml:space="preserve">До 2022 российские IT-компании стоили 20–30x прибыли, мировые лидеры кибербезопасности — 40x+. Берём 15x: после снятия санкций могут вернуться иностранные вендоры.</t>
  </si>
  <si>
    <t xml:space="preserve">Рост отгрузок и NIC в среднем за 5 лет.</t>
  </si>
  <si>
    <t xml:space="preserve">Оплаченные отгрузки 2027П</t>
  </si>
  <si>
    <t xml:space="preserve">NIC 2027П</t>
  </si>
  <si>
    <t xml:space="preserve">Стоимость акционерного капитала</t>
  </si>
  <si>
    <t xml:space="preserve">P/E на NIC 2027П при текущей цене</t>
  </si>
  <si>
    <t xml:space="preserve">Потенциальный дивиденд за 2027 (50% NIC)</t>
  </si>
  <si>
    <t xml:space="preserve">Политика: 50–100% NIC при ЧД/EBITDA ≤ 2,5x.</t>
  </si>
  <si>
    <t xml:space="preserve">Медиана целей 6 брокеров</t>
  </si>
  <si>
    <t xml:space="preserve">1300–2000 ₽: Эйлер 2000, Альфа 1990, ПСБ 1550, Freedom 1400, Сбер CIB 1350, Т-Инвестиции ~1300.</t>
  </si>
  <si>
    <t xml:space="preserve">ЧУВСТВИТЕЛЬНОСТЬ СПРАВЕДЛИВОЙ ЦЕНЫ, ₽: строки — P/E, столбцы — маржа NIC</t>
  </si>
  <si>
    <t xml:space="preserve">P/E \ маржа NIC</t>
  </si>
  <si>
    <t xml:space="preserve">Тезис: Лидер российской кибербезопасности (~17% рынка). Рынок ИБ растёт быстрее ИТ из‑за импортозамещения и атак, включая ИИ-угрозы. 2026 — год восстановления после провала 2024: расходы заморожены, долг упал до 0,8x EBITDA, отгрузки за 1П +45%. Если маржа NIC выйдет к 20%+, акция дешёвая.</t>
  </si>
  <si>
    <t xml:space="preserve">• Отгрузки 2026 ниже 38 млрд ₽ (второй срыв гайденса за три года)</t>
  </si>
  <si>
    <t xml:space="preserve">• NIC 2026 отрицательный</t>
  </si>
  <si>
    <t xml:space="preserve">• Новая допэмиссия (последняя была в 2024)</t>
  </si>
  <si>
    <t xml:space="preserve">• ЧД/EBITDA выше 2x или расходы растут быстрее отгрузок</t>
  </si>
  <si>
    <t xml:space="preserve">• Отчёт за 9М 2026 (ожидается ~10.11.2026) и прогноз 3 квартала 6,75 млрд</t>
  </si>
  <si>
    <t xml:space="preserve">• Предварительные отгрузки за 2026 год (февраль 2027) — ключевая проверка</t>
  </si>
  <si>
    <t xml:space="preserve">• Дивидендная рекомендация весной 2027</t>
  </si>
  <si>
    <t xml:space="preserve">• Сделки M&amp;A (CyberOK) и новые выпуски облигаций</t>
  </si>
  <si>
    <t xml:space="preserve">Market Power — отчёт за 1П 2026: https://marketpower.pro/post/pozitiv-otchet-za-1-pol-2026-po-msfo</t>
  </si>
  <si>
    <t xml:space="preserve">Fomag — итоги 1П 2026: https://fomag.ru/news/gruppa-pozitiv-vosstanovlenie-nabiraet-oboroty-no-glavnyy-ekzamen-eshche-vperedi-daydzhest-fomag/</t>
  </si>
  <si>
    <t xml:space="preserve">Anti-Malware, 27.07.2026 — гайденс отгрузок: https://www.anti-malware.ru/news/2026-07-27-111332/50822</t>
  </si>
  <si>
    <t xml:space="preserve">Anti-Malware, 09.02.2026 — цель по маржинальности NIC: https://www.anti-malware.ru/news/2026-02-09-111332/48975</t>
  </si>
  <si>
    <t xml:space="preserve">Positive — дивиденд 2026: https://static.ptsecurity.com/group/documents/disclosure/reports/POSI-2026-Dividends_8fba54de60f2cb95.pdf</t>
  </si>
  <si>
    <t xml:space="preserve">investmint — цели аналитиков и новости: https://investmint.ru/posi/</t>
  </si>
  <si>
    <t xml:space="preserve">PRMD — Промомед: модель справедливой стоимости</t>
  </si>
  <si>
    <t xml:space="preserve">Метод: EV/EBITDA на прогноз 2027 года</t>
  </si>
  <si>
    <t xml:space="preserve">Компания роста без значимых дивидендов: стоимость бизнеса = EBITDA 2027 × справедливый мультипликатор, минус чистый долг, делим на число акций. Проверка — P/E при справедливой цене и сравнение с консенсусом аналитиков.</t>
  </si>
  <si>
    <t xml:space="preserve">Выручка 2026П</t>
  </si>
  <si>
    <t xml:space="preserve">Гайденс: рост не ниже 60% к 37,6 млрд за 2025 (подтверждён 31.08 и в октябре 2026). 1П 2026: 22,8 млрд (+76%). АТОН, Ведомости, ABN 06.10.2026.</t>
  </si>
  <si>
    <t xml:space="preserve">Рост выручки 2027</t>
  </si>
  <si>
    <t xml:space="preserve">CFO ждёт ~40% в год в 2027–2029 (ABN, 06.10.2026). Берём 35%: тирзепатид в РФ не защищён патентом, на рынок выходят Герофарм и ПСК Фарма.</t>
  </si>
  <si>
    <t xml:space="preserve">Рентабельность EBITDA 2027</t>
  </si>
  <si>
    <t xml:space="preserve">2025: 41%; 1П 2026: 34%; гайденс 2026 ~45%. Берём середину 40%.</t>
  </si>
  <si>
    <t xml:space="preserve">Сейчас рынок даёт ~3,7x на 2027П. 5x — умеренная оценка для роста 35%+ с дисконтом за концентрацию на одном препарате и free-float 8,5%.</t>
  </si>
  <si>
    <t xml:space="preserve">Чистый долг на конец 2026П</t>
  </si>
  <si>
    <t xml:space="preserve">30.06.2026: 33,3 млрд, ЧД/EBITDA 1,79x (АТОН); FCF 1П ≈ −5 млрд (Т-Инвестиции), во 2П ждём столько же → ~38 млрд к концу года. Положительный FCF компания ждёт в 2027.</t>
  </si>
  <si>
    <t xml:space="preserve">212,5 млн обыкн. акций (investfunds); 212,5 × 407 ₽ = 86,5 млрд ₽ капитализации.</t>
  </si>
  <si>
    <t xml:space="preserve">Чистая рентабельность 2027 (для проверки)</t>
  </si>
  <si>
    <t xml:space="preserve">2025: 19% (7,2 / 37,6 млрд); 1П 2026: 11% из‑за процентов. Берём 16%.</t>
  </si>
  <si>
    <t xml:space="preserve">Мир: EV/EBITDA после снятия санкций</t>
  </si>
  <si>
    <t xml:space="preserve">Мировые производители дженериков ~8–10x EBITDA; истории до 2022 нет (IPO 2024). Берём 7x.</t>
  </si>
  <si>
    <t xml:space="preserve">Рост 35%+ не продлится 5 лет; берём 15% в среднем.</t>
  </si>
  <si>
    <t xml:space="preserve">Чистая прибыль 2027П</t>
  </si>
  <si>
    <t xml:space="preserve">P/E 2027П при справедливой цене</t>
  </si>
  <si>
    <t xml:space="preserve">Для роста 35% разумно 8–12x.</t>
  </si>
  <si>
    <t xml:space="preserve">Консенсус-цель аналитиков (6 домов)</t>
  </si>
  <si>
    <t xml:space="preserve">beststocks.ru, 23.10.2026: 600–730 ₽; Т-Инвестиции 640 ₽ (16.09.2026).</t>
  </si>
  <si>
    <t xml:space="preserve">ЧУВСТВИТЕЛЬНОСТЬ СПРАВЕДЛИВОЙ ЦЕНЫ, ₽: строки — EV/EBITDA, столбцы — рост выручки 2027</t>
  </si>
  <si>
    <t xml:space="preserve">EV/EBITDA \ рост выручки 2027</t>
  </si>
  <si>
    <t xml:space="preserve">Тезис: Лидер российского рынка препаратов от ожирения: доля 73% в тирзепатиде, 43% в семаглутиде; выручка растёт на 60%+ в 2026 и, по плану, ~40% в год до 2029. Второй двигатель — онкология (около 25 новых препаратов в 2027–2028). Рынок оценивает компанию дёшево из‑за долга и малого free-float.</t>
  </si>
  <si>
    <t xml:space="preserve">• Рост выручки 2027 ниже 20% или срыв гайденса 2026 (выручка ниже 55 млрд ₽)</t>
  </si>
  <si>
    <t xml:space="preserve">• Доля «Тирзетты» падает ниже 50% из‑за дженериков и ценовой войны</t>
  </si>
  <si>
    <t xml:space="preserve">• ЧД/EBITDA выше 2,5x (предел дивполитики и ковенант)</t>
  </si>
  <si>
    <t xml:space="preserve">• SPO или допэмиссия (менеджмент обещал не размещаться два года, июнь 2026)</t>
  </si>
  <si>
    <t xml:space="preserve">• Отчёт за 9М 2026 (ожидается ~20.11.2026) → выручка и маржа</t>
  </si>
  <si>
    <t xml:space="preserve">• Ежемесячные продажи по DSM / RNC Pharma (доля в GLP‑1)</t>
  </si>
  <si>
    <t xml:space="preserve">• Регистрации конкурентов по тирзепатиду и семаглутиду</t>
  </si>
  <si>
    <t xml:space="preserve">• Гайденс на 2027 год, госзакупки онкологии во 2П 2026</t>
  </si>
  <si>
    <t xml:space="preserve">АТОН — итоги 1П 2026: https://www.aton.ru/ideas/promomed_klyuchevye_rezultaty_za_pervoe_polugodie_2026_goda/</t>
  </si>
  <si>
    <t xml:space="preserve">Ведомости, 31.08.2026: https://www.vedomosti.ru/investments/news/2026/08/31/1224940-promomed-narastil-pribil</t>
  </si>
  <si>
    <t xml:space="preserve">ABN, 06.10.2026 — гайденс 2026 и рост ~40% в 2027–2029: https://abn.agency/2026/10/06/promomed-zhdet-rost-vyruchki-na-60-v-2026-godu/</t>
  </si>
  <si>
    <t xml:space="preserve">beststocks.ru — консенсус 6 аналитиков: https://beststocks.ru/rustock/prmd/analysts</t>
  </si>
  <si>
    <t xml:space="preserve">investfunds — число акций: https://investfunds.ru/stocks/PJSC-Promomed/</t>
  </si>
  <si>
    <t xml:space="preserve">Коммерсантъ — патентная защита тирзепатида: https://www.kommersant.ru/doc/8799945</t>
  </si>
  <si>
    <t xml:space="preserve">YDEX — Яндекс: модель справедливой стоимости</t>
  </si>
  <si>
    <t xml:space="preserve">Компания роста с крупными капзатратами на ИИ и дата-центры. Стоимость бизнеса = (скорр. EBITDA 2027 − выплаты сотрудникам акциями) × мультипликатор; вычитаем чистый долг и разовый ущерб от атак на ЦОДы, делим на акции в обращении. Выплаты акциями вычтены из EBITDA, поэтому новые акции для сотрудников второй раз не учитываются.</t>
  </si>
  <si>
    <t xml:space="preserve">Скорр. EBITDA 2026П</t>
  </si>
  <si>
    <t xml:space="preserve">Гайденс ~350 млрд, подтверждён 29.07.2026; 1П 2026: 162,2 млрд (маржа 21,4%), менеджмент ждёт ускорения во 2П.</t>
  </si>
  <si>
    <t xml:space="preserve">Рост EBITDA 2027</t>
  </si>
  <si>
    <t xml:space="preserve">Гайденса на 2027 нет; выручка 2026 растёт ~20%, Совкомбанк ждёт замедления до ~12%. Берём 15%.</t>
  </si>
  <si>
    <t xml:space="preserve">Выплаты сотрудникам акциями в год</t>
  </si>
  <si>
    <t xml:space="preserve">Скорр. EBITDA их не включает, а расход постоянный: 18,3 млрд за 1П 2026 → ~37 млрд за 2026, ~40 млрд в 2027.</t>
  </si>
  <si>
    <t xml:space="preserve">Справедливый EV/(EBITDA − выплаты акциями) 2027П</t>
  </si>
  <si>
    <t xml:space="preserve">Рынок сейчас даёт ~3,6x на ту же базу 2027 года. 4,5x — премия ~25% за рост 15%+ и снижение ставки к 2028 (ЦБ: 9–10%). Меньше, чем у Промомеда (рост 35%).</t>
  </si>
  <si>
    <t xml:space="preserve">Скорр. чистый долг</t>
  </si>
  <si>
    <t xml:space="preserve">По данным компании на 30.06.2026 (0,02x LTM EBITDA): деньги 296 млрд, долг 277 млрд плюс долгосрочная аренда, которую компания включает в скорр. долг.</t>
  </si>
  <si>
    <t xml:space="preserve">Разовый ущерб от атак на ЦОДы</t>
  </si>
  <si>
    <t xml:space="preserve">По оценке пользователя: ~20 млрд ₽. Атаки 8–11.10.2026 (Сасово, Владимир, Калуга); компания ущерб не раскрыла, облако — 2–4% выручки. Уточнится в отчёте за 3К (29.10.2026).</t>
  </si>
  <si>
    <t xml:space="preserve">Выпущено 396,9 млн, из них ~15 млн у компании (выкуп и пул для сотрудников); в обращении 382,1 млн (средневзвешенно за 1П 2026, пресс-релиз 2К26). 11 млн новых акций (ноябрь 2026) — это и есть выплаты сотрудникам, они уже вычтены из EBITDA.</t>
  </si>
  <si>
    <t xml:space="preserve">Скорр. чистая прибыль 2027П (для проверки)</t>
  </si>
  <si>
    <t xml:space="preserve">1П 2026: 82,2 млрд; 2026П ~180 млрд, +15% в 2027.</t>
  </si>
  <si>
    <t xml:space="preserve">Алиса и YandexGPT — лидер в потребительском ИИ, Yandex Cloud — крупнейшее облако с ИИ-сервисами. Вместе со Сбером делят большую часть рынка. Оценка модели. Пересечение с базой: сегодняшняя ИИ-выручка уже есть в EBITDA, но она мала относительно рынка 2030.</t>
  </si>
  <si>
    <t xml:space="preserve">Мир: EV/(EBITDA − выплаты акциями) после снятия санкций</t>
  </si>
  <si>
    <t xml:space="preserve">До 2022 Яндекс стоил 15–20x скорр. EBITDA (листинг в США); мировые интернет-компании ~12–15x. Берём 10x. ИИ-блок не переоцениваем — он уже по мультипликаторам США.</t>
  </si>
  <si>
    <t xml:space="preserve">Рост EBITDA в среднем за 5 лет.</t>
  </si>
  <si>
    <t xml:space="preserve">Скорр. EBITDA 2027П</t>
  </si>
  <si>
    <t xml:space="preserve">EBITDA 2027П после выплат акциями</t>
  </si>
  <si>
    <t xml:space="preserve">Базовая цена (без отдельной оценки ИИ)</t>
  </si>
  <si>
    <t xml:space="preserve">P/E 2027П базовой цены (без ИИ)</t>
  </si>
  <si>
    <t xml:space="preserve">Для роста 15% разумно 8–12x.</t>
  </si>
  <si>
    <t xml:space="preserve">EV/скорр. EBITDA 2026П при текущей цене</t>
  </si>
  <si>
    <t xml:space="preserve">Так считают рынок и брокеры.</t>
  </si>
  <si>
    <t xml:space="preserve">EV/(EBITDA − выплаты акциями) 2027П при текущей цене</t>
  </si>
  <si>
    <t xml:space="preserve">Та же база, что у справедливого мультипликатора.</t>
  </si>
  <si>
    <t xml:space="preserve">Дивдоходность (2 × 110 ₽ в год)</t>
  </si>
  <si>
    <t xml:space="preserve">В 2026 выплачено 110 ₽ за 2025 и 110 ₽ за 1П 2026.</t>
  </si>
  <si>
    <t xml:space="preserve">Среднее 3 целей после атак</t>
  </si>
  <si>
    <t xml:space="preserve">Freedom 5000, Цифра брокер 4978, Финам 5125 (октябрь 2026); до атак — 5000–6856 ₽.</t>
  </si>
  <si>
    <t xml:space="preserve">ЧУВСТВИТЕЛЬНОСТЬ СПРАВЕДЛИВОЙ ЦЕНЫ, ₽: строки — EV/EBITDA, столбцы — рост EBITDA 2027</t>
  </si>
  <si>
    <t xml:space="preserve">EV/EBITDA \ рост EBITDA 2027</t>
  </si>
  <si>
    <t xml:space="preserve">ЧУВСТВИТЕЛЬНОСТЬ СПРАВЕДЛИВОЙ ЦЕНЫ, ₽: строки — доля Яндекса на рынке ИИ, столбцы — рынок генИИ в РФ 2030, млрд ₽</t>
  </si>
  <si>
    <t xml:space="preserve">доля Яндекса на рынке ИИ \ рынок генИИ в РФ 2030, млрд ₽</t>
  </si>
  <si>
    <t xml:space="preserve">Тезис: Главная технологическая компания страны: поиск, такси и доставка, реклама, облако и собственные ИИ-модели. EBITDA растёт на 20%+ в год, долга нет, дивиденды 220 ₽ в год. Главный рычаг стоимости — ИИ: иностранные модели в РФ ограничены, и Яндекс вместе со Сбером может занять рынок, как когда-то вытеснил Uber. Рынок пока дисконтирует компанию из‑за ставки, капзатрат на ИИ и атак на дата-центры.</t>
  </si>
  <si>
    <t xml:space="preserve">• Скорр. EBITDA 2026 ниже 320 млрд ₽ (срыв гайденса 350)</t>
  </si>
  <si>
    <t xml:space="preserve">• Ущерб от атак на ЦОДы больше 100 млрд ₽ или новые атаки с остановкой сервисов</t>
  </si>
  <si>
    <t xml:space="preserve">• Доля Яндекса в генеративном ИИ падает ниже 25% или в РФ возвращаются иностранные модели</t>
  </si>
  <si>
    <t xml:space="preserve">• Допэмиссии сверх программы мотивации или отмена выплат по 110 ₽</t>
  </si>
  <si>
    <t xml:space="preserve">• Регуляторное изъятие: налог на ИТ-сверхприбыль, госконтроль над сервисами</t>
  </si>
  <si>
    <t xml:space="preserve">• Отчёт за 3К 2026 (ожидается 29.10.2026): ущерб от атак, подтверждение гайденса</t>
  </si>
  <si>
    <t xml:space="preserve">• Гайденс на 2027 год (обычно в феврале–марте)</t>
  </si>
  <si>
    <t xml:space="preserve">• Ход восстановления ЦОДов, новые атаки</t>
  </si>
  <si>
    <t xml:space="preserve">• Дивиденды, байбек до 50 млрд ₽, допэмиссия 11 млн акций</t>
  </si>
  <si>
    <t xml:space="preserve">• Алиса, YandexGPT, Yandex Cloud: выручка от ИИ, доля на рынке</t>
  </si>
  <si>
    <t xml:space="preserve">Яндекс — пресс-релиз 2К 2026: https://yastatic.net/s3/ir-docs/docs/2026/q2/9616f5e520b9c0d999be8066069d154d/2Q26_Press_Release_ENG_99be.pdf</t>
  </si>
  <si>
    <t xml:space="preserve">Interfax — гайденс 2026: https://www.interfax.ru/business/1106334</t>
  </si>
  <si>
    <t xml:space="preserve">ComNews, 30.09.2026 — допэмиссия 11 млн акций: https://www.comnews.ru/content/247621/2026-09-30/2026-w40/1007/svoi-sredi-chuzhikh-yandeks-vypustit-11-mln-akciy-dlya-sotrudnikov</t>
  </si>
  <si>
    <t xml:space="preserve">Fomag — атаки на ЦОДы и последствия: https://fomag.ru/news/ataki-na-infrastrukturu-yandeksa-chto-dalshe-i-kakovy-posledstviya/</t>
  </si>
  <si>
    <t xml:space="preserve">Т—Ж — падение акций после атак: https://t-j.ru/news/yandex-stocks-falls-with-dc/</t>
  </si>
  <si>
    <t xml:space="preserve">investmint — дивиденды и цели: https://investmint.ru/ydex/divs/</t>
  </si>
  <si>
    <t xml:space="preserve">MTSS — МТС: модель справедливой стоимости</t>
  </si>
  <si>
    <t xml:space="preserve">Метод: модель денежных выплат акционерам (Гордон: дивиденды + выкуп акций)</t>
  </si>
  <si>
    <t xml:space="preserve">С 2027 года МТС возвращает акционерам не меньше 70 млрд ₽ в год: 70% дивидендами, 30% выкупом акций. Стоимость акции = выплаты на акцию / (требуемая доходность − рост). Требуемая доходность выше, чем у Сбера: большой долг и политика только на два года.</t>
  </si>
  <si>
    <t xml:space="preserve">Выплаты акционерам в год (2027–2028)</t>
  </si>
  <si>
    <t xml:space="preserve">Политика от 15.09.2026: до 20% OIBDA, цель не менее 70 млрд ₽ в год; 70% дивиденды, 30% байбек; выплаты 3 раза в год, первая — январь 2027 за 9М 2026.</t>
  </si>
  <si>
    <t xml:space="preserve">Доля дивидендов в выплатах</t>
  </si>
  <si>
    <t xml:space="preserve">Остальные 30% — выкуп акций.</t>
  </si>
  <si>
    <t xml:space="preserve">Акций выпущено</t>
  </si>
  <si>
    <t xml:space="preserve">1 998 381 575 акций; дивиденд 35 ₽ = 69,9 млрд ₽ выплачивался на весь выпуск.</t>
  </si>
  <si>
    <t xml:space="preserve">Чистый долг с арендой ~645 млрд ₽ (2,1x OIBDA), политика выплат только на 2027–2028, зависимость АФК «Система» от дивидендов.</t>
  </si>
  <si>
    <t xml:space="preserve">Долгосрочный рост выплат</t>
  </si>
  <si>
    <t xml:space="preserve">OIBDA растёт на 13–17%, но выплаты привязаны к фиксированной цели и съедаются капзатратами и процентами; берём 4%.</t>
  </si>
  <si>
    <t xml:space="preserve">Чистый долг с арендой (для проверки)</t>
  </si>
  <si>
    <t xml:space="preserve">На 30.06.2026 (Market Power, 2,13x OIBDA).</t>
  </si>
  <si>
    <t xml:space="preserve">OIBDA 2026П (для проверки)</t>
  </si>
  <si>
    <t xml:space="preserve">1П 2026: 159,3 млрд (+17%); второе полугодие сезонно сильнее.</t>
  </si>
  <si>
    <t xml:space="preserve">MWS AI: цель ~1 млрд ₽ выручки в 2026 (~2% рынка генИИ); MWS (облака и ИИ) — 63,8 млрд ₽ выручки в 2025, рост MWS AI +60%. Оценка модели.</t>
  </si>
  <si>
    <t xml:space="preserve">Мир: EV/OIBDA как до 2022 года</t>
  </si>
  <si>
    <t xml:space="preserve">МТС в 2017–2021 стоил ~4,5–5x OIBDA (акция 250–350 ₽). Применяется к OIBDA 2026П с нынешним долгом.</t>
  </si>
  <si>
    <t xml:space="preserve">OIBDA сейчас растёт на 13–17%, к 2031 рост замедлится.</t>
  </si>
  <si>
    <t xml:space="preserve">Выплаты на акцию в год</t>
  </si>
  <si>
    <t xml:space="preserve">из них дивиденд</t>
  </si>
  <si>
    <t xml:space="preserve">Справедливая доходность выплат (r − g)</t>
  </si>
  <si>
    <t xml:space="preserve">Базовая цена = выплаты / (r − g)</t>
  </si>
  <si>
    <t xml:space="preserve">Телеком без отдельной оценки ИИ.</t>
  </si>
  <si>
    <t xml:space="preserve">Полная доходность выплат к текущей цене</t>
  </si>
  <si>
    <t xml:space="preserve">EV/OIBDA 2026П при базовой цене (без ИИ)</t>
  </si>
  <si>
    <t xml:space="preserve">Историческая норма для телекома РФ — 3,5–4,5x.</t>
  </si>
  <si>
    <t xml:space="preserve">EV/OIBDA 2026П при текущей цене</t>
  </si>
  <si>
    <t xml:space="preserve">Строгий вариант: ставка по рынку длинных ОФЗ, рост прежний.</t>
  </si>
  <si>
    <t xml:space="preserve">Средняя цель 6 брокеров</t>
  </si>
  <si>
    <t xml:space="preserve">215–289 ₽: Финам 243, Велес 289, БрокерКФ 230, Freedom 270, БКС 240, Т-Инвестиции 215; часть — до новой политики.</t>
  </si>
  <si>
    <t xml:space="preserve">ЧУВСТВИТЕЛЬНОСТЬ СПРАВЕДЛИВОЙ ЦЕНЫ, ₽: строки — премия за риск, столбцы — выплаты в год, млрд ₽</t>
  </si>
  <si>
    <t xml:space="preserve">премия за риск \ выплаты в год, млрд ₽</t>
  </si>
  <si>
    <t xml:space="preserve">ЧУВСТВИТЕЛЬНОСТЬ СПРАВЕДЛИВОЙ ЦЕНЫ, ₽: строки — доля МТС на рынке ИИ, столбцы — рынок генИИ в РФ 2030, млрд ₽</t>
  </si>
  <si>
    <t xml:space="preserve">доля МТС на рынке ИИ \ рынок генИИ в РФ 2030, млрд ₽</t>
  </si>
  <si>
    <t xml:space="preserve">Тезис: Крупнейший оператор связи с растущей экосистемой (финтех, реклама, облака MWS). Для акционера главное — деньги: около 20% цены в год возвращается дивидендами и выкупом. При снижении ставки дешевеет обслуживание огромного долга, и оценка растёт. Сверху — MWS AI и облака: небольшая, но растущая доля российского ИИ-рынка.</t>
  </si>
  <si>
    <t xml:space="preserve">• Выплаты акционерам за 2027 год ниже 70 млрд ₽ или отказ от выкупа акций</t>
  </si>
  <si>
    <t xml:space="preserve">• Чистый долг без аренды выше 2,0x OIBDA</t>
  </si>
  <si>
    <t xml:space="preserve">• Допэмиссия или выкуп активов у АФК «Система» в долг</t>
  </si>
  <si>
    <t xml:space="preserve">• Ставка ЦБ снова растёт выше 16% (большая часть долга — плавающая)</t>
  </si>
  <si>
    <t xml:space="preserve">• Отчёт за 3К 2026 (ожидается ~16.11.2026): OIBDA, долг, FCF</t>
  </si>
  <si>
    <t xml:space="preserve">• Решение совета о первой выплате по новой политике (за 9М 2026, январь 2027)</t>
  </si>
  <si>
    <t xml:space="preserve">• Параметры выкупа акций, IPO дочерних компаний</t>
  </si>
  <si>
    <t xml:space="preserve">• Ставка ЦБ — она определяет процентные расходы МТС</t>
  </si>
  <si>
    <t xml:space="preserve">• MWS AI и MWS Cloud: выручка, контракты, доля на рынке ИИ</t>
  </si>
  <si>
    <t xml:space="preserve">Т—Ж — новая дивполитика МТС 2027–2028: https://t-j.ru/news/mts-new-divpolitika/</t>
  </si>
  <si>
    <t xml:space="preserve">ComNews, 17.09.2026 — 70% дивиденды, 30% байбек: https://www.comnews.ru/content/247402/2026-09-17/2026-w38/1008/mts-razdvoila-kapital-70-dividendy-30-obratnyy-vykup</t>
  </si>
  <si>
    <t xml:space="preserve">Ведомости, 26.08.2026 — 2К 2026 и продажа доли БИК: https://www.vedomosti.ru/technology/articles/2026/08/26/1223702-prodazha-doli-v-bashennom-biznese-prinesla-mts-pribil</t>
  </si>
  <si>
    <t xml:space="preserve">Market Power — отчёт за 2К 2026, долг с арендой: https://marketpower.pro/post/mts-otchet-za-2-kv-2026-po-msfo</t>
  </si>
  <si>
    <t xml:space="preserve">МТС — пресс-релиз 1К 2026: https://storage.ir.mts.ru/mts-ir/images/documents/results/MTS_1Q_2026_Press_release_RUS.pdf</t>
  </si>
  <si>
    <t xml:space="preserve">investmint — цели брокеров: https://investmint.ru/mtss/</t>
  </si>
  <si>
    <t xml:space="preserve">Axioma AI — MWS AI: цель 1 млрд ₽ выручки в 2026: https://axioma-ai.ru/ai-russia/mws-ai-mts-1bln-revenue-2026-large-business-transformation-20260905</t>
  </si>
  <si>
    <t xml:space="preserve">Код Дурова — MWS заработал 63,8 млрд ₽ на облаках и ИИ: https://kod.ru/mts-web-services-plans-growth</t>
  </si>
  <si>
    <t xml:space="preserve">GAZP — Газпром: модель справедливой стоимости</t>
  </si>
  <si>
    <t xml:space="preserve">Метод: EV/EBITDA на нормализованную EBITDA + два опциона: «Северные потоки» и «Сила Байкала»</t>
  </si>
  <si>
    <t xml:space="preserve">База: нормализованная EBITDA × мультипликатор минус чистый долг (дивидендов нет четвёртый год). Сверху — два опциона: вероятность × (стоимость дополнительного денежного потока − капзатраты). Маржа опционов собрана из явных вводных: цена − экспортная пошлина − добыча и НДПИ − транспорт. Долгосрочные долларовые потоки дисконтируются ставкой, очищенной от ожидаемого ослабления рубля.</t>
  </si>
  <si>
    <t xml:space="preserve">Нормализованная EBITDA (без опционов)</t>
  </si>
  <si>
    <t xml:space="preserve">LTM на 30.06.2026: 3 348 млрд; 2025: 2 920 млрд; 1П 2026: 1 977 млрд, но 1П сезонно сильнее (53% EBITDA 2025). В июне 2026 компания ждала +6–7% за 2026 (~3,1 трлн). Берём LTM.</t>
  </si>
  <si>
    <t xml:space="preserve">Исторически 2,5–3,5x, но при дивидендах. Без выплат и с убыточным газовым сегментом — нижняя граница.</t>
  </si>
  <si>
    <t xml:space="preserve">На 30.06.2026, ЧД/EBITDA 1,81x (The Moscow Times, Fomag).</t>
  </si>
  <si>
    <t xml:space="preserve">23,674 млрд; × 114,75 ₽ = 2 716 млрд ₽ капитализации; казначейских акций на 31.12.2025 не было.</t>
  </si>
  <si>
    <t xml:space="preserve">Доли меньшинства в «дочках» (рыночная оценка)</t>
  </si>
  <si>
    <t xml:space="preserve">EBITDA консолидированная, поэтому чужие доли вычитаем: 4,3% «Газпром нефти» (~117 млрд по рынку), 22,5% «Сахалинской Энерджи» (~205 млрд на дату покупки), миноритарии Мосэнерго, ТГК-1, ОГК-2 (~40 млрд). Оценка модели — уточнить по МСФО.</t>
  </si>
  <si>
    <t xml:space="preserve">Доли в ассоциированных компаниях и СП</t>
  </si>
  <si>
    <t xml:space="preserve">Их прибыли нет в EBITDA: «Славнефть», «Арктикгаз», «Мессояха» и др. Балансовая стоимость 1 297 млрд (30.09.2024, МСФО); берём 0,4 баланса — дисконт, как у самой «Газпром нефти» (~0,6x). Оценка модели.</t>
  </si>
  <si>
    <t xml:space="preserve">Ставка дисконтирования (рубли)</t>
  </si>
  <si>
    <t xml:space="preserve">Ослабление рубля в год (долгосрочно)</t>
  </si>
  <si>
    <t xml:space="preserve">Разница инфляций РФ и США. Без неё 30-летние долларовые потоки по постоянному курсу дисконтировались бы рублёвой ставкой — это занижало опционы.</t>
  </si>
  <si>
    <t xml:space="preserve">Налог на прибыль</t>
  </si>
  <si>
    <t xml:space="preserve">С 2025 года 25%.</t>
  </si>
  <si>
    <t xml:space="preserve">Экспортная пошлина на трубопроводный газ</t>
  </si>
  <si>
    <t xml:space="preserve">30% от цены — для Европы и Китая (льгота для поставок в Китай была только по НДПИ восточных месторождений).</t>
  </si>
  <si>
    <t xml:space="preserve">Добыча + НДПИ, $/тыс. м³</t>
  </si>
  <si>
    <t xml:space="preserve">$</t>
  </si>
  <si>
    <t xml:space="preserve">Западная Сибирь, стандартный НДПИ ~2 400 ₽/тыс. м³ (~$28) + подъём газа ~$10–12. Оценка модели.</t>
  </si>
  <si>
    <t xml:space="preserve">«Северные потоки»: вероятность перезапуска</t>
  </si>
  <si>
    <t xml:space="preserve">NYT 17.10.2026: США видят перезапуск частью мирного плана; европейские переговорщики против, запрет на российский газ закреплён в законе ЕС (вступил 03.02.2026). Оценка модели — 15%.</t>
  </si>
  <si>
    <t xml:space="preserve">«Северные потоки»: объём, млрд м³ в год</t>
  </si>
  <si>
    <t xml:space="preserve">млрд м³</t>
  </si>
  <si>
    <t xml:space="preserve">Цела одна нитка «Северного потока — 2» (27,5 млрд м³); обе нитки СП-1 и нитка A СП-2 повреждены в 2022.</t>
  </si>
  <si>
    <t xml:space="preserve">«Северные потоки»: цена в Европе, $/тыс. м³</t>
  </si>
  <si>
    <t xml:space="preserve">Материалы бюджета: прочие покупатели $562 в 2026 (пик TTF), $362 в 2028, $323 в 2029. После возврата российского газа цены снизятся — берём $300.</t>
  </si>
  <si>
    <t xml:space="preserve">«Северные потоки»: транспорт до Балтики, $/тыс. м³</t>
  </si>
  <si>
    <t xml:space="preserve">Существующая ГТС ~3 000 км и своя труба: только операционные расходы и топливный газ.</t>
  </si>
  <si>
    <t xml:space="preserve">«Северные потоки»: лет до запуска</t>
  </si>
  <si>
    <t xml:space="preserve">Нужны мирное соглашение, отмена запрета ЕС и проверка трубы.</t>
  </si>
  <si>
    <t xml:space="preserve">«Северные потоки»: капзатраты на ввод</t>
  </si>
  <si>
    <t xml:space="preserve">Инспекция и подключение уцелевшей нитки; оценка модели.</t>
  </si>
  <si>
    <t xml:space="preserve">«Северные потоки»: когда тратить, лет</t>
  </si>
  <si>
    <t xml:space="preserve">«Сила Байкала»: вероятность подписания контракта</t>
  </si>
  <si>
    <t xml:space="preserve">Бывшая «Сила Сибири-2», переименована в 2026. Новак 21.10.2026: Газпром и CNPC могут согласовать коммерческие условия до конца года; цена и финансирование не решены.</t>
  </si>
  <si>
    <t xml:space="preserve">«Сила Байкала»: объём, млрд м³ в год</t>
  </si>
  <si>
    <t xml:space="preserve">Проектная мощность 50 млрд м³ в год, маршрут через Монголию.</t>
  </si>
  <si>
    <t xml:space="preserve">«Сила Байкала»: цена для Китая, $/тыс. м³</t>
  </si>
  <si>
    <t xml:space="preserve">Как по «Силе Сибири» (решение пользователя). Материалы бюджета (ТАСС, 02.10.2026): 2025 — $240,3; 2026 — $247,9; 2027 — $251,3; 2028 — $247,8; 2029 — $246,4. Риск: по FT, Китай добивается намного более низкой цены.</t>
  </si>
  <si>
    <t xml:space="preserve">«Сила Байкала»: транспорт и транзит Монголии, $/тыс. м³</t>
  </si>
  <si>
    <t xml:space="preserve">~3 500 км новой трубы: топливный газ и обслуживание ~$10–15 + транзит через Монголию ~$10–15 (тариф не раскрыт). Стройка трубы — отдельно, в капзатратах.</t>
  </si>
  <si>
    <t xml:space="preserve">«Сила Байкала»: срок контракта, лет</t>
  </si>
  <si>
    <t xml:space="preserve">Как у «Силы Сибири-1» (30 лет).</t>
  </si>
  <si>
    <t xml:space="preserve">«Сила Байкала»: лет до полных объёмов</t>
  </si>
  <si>
    <t xml:space="preserve">Первый газ ~2031, плато не раньше 2034–2035 (The Moscow Times, 24.04.2026); с учётом разгона — эквивалент полных объёмов с ~2033.</t>
  </si>
  <si>
    <t xml:space="preserve">«Сила Байкала»: капзатраты</t>
  </si>
  <si>
    <t xml:space="preserve">Предварительная официальная оценка ~1 трлн ₽; критики (Крутихин, The Moscow Times 18.09.2026) считают её заниженной. См. точку окупаемости ниже.</t>
  </si>
  <si>
    <t xml:space="preserve">«Сила Байкала»: середина стройки, лет</t>
  </si>
  <si>
    <t xml:space="preserve">Строительство ~2028–2032.</t>
  </si>
  <si>
    <t xml:space="preserve">Газпром в 2017–2021 стоил ~3–3,5x EBITDA (при дивидендах).</t>
  </si>
  <si>
    <t xml:space="preserve">Мир: вероятность запуска «Северных потоков» после мира</t>
  </si>
  <si>
    <t xml:space="preserve">Если санкции сняты, снят и запрет ЕС на российский газ. Но Европа перешла на СПГ и решение политическое — берём 60%.</t>
  </si>
  <si>
    <t xml:space="preserve">Справедливая стоимость бизнеса (EV), база</t>
  </si>
  <si>
    <t xml:space="preserve">Стоимость акционерного капитала, база</t>
  </si>
  <si>
    <t xml:space="preserve">Справедливая цена без опционов</t>
  </si>
  <si>
    <t xml:space="preserve">Ставка для долгосрочных долларовых потоков</t>
  </si>
  <si>
    <t xml:space="preserve">Рублёвая ставка за вычетом ожидаемого ослабления рубля.</t>
  </si>
  <si>
    <t xml:space="preserve">«Северные потоки»: EBITDA на 1 000 м³</t>
  </si>
  <si>
    <t xml:space="preserve">Цена × (1 − пошлина) − добыча и НДПИ − транспорт.</t>
  </si>
  <si>
    <t xml:space="preserve">«Северные потоки»: доп. EBITDA в год</t>
  </si>
  <si>
    <t xml:space="preserve">«Северные потоки»: стоимость, если перезапуск</t>
  </si>
  <si>
    <t xml:space="preserve">Тем же мультипликатором, что и база: без долгого контракта поставки могут снова прекратиться.</t>
  </si>
  <si>
    <t xml:space="preserve">«Северные потоки»: вклад в цену (× вероятность)</t>
  </si>
  <si>
    <t xml:space="preserve">«Сила Байкала»: EBITDA на 1 000 м³</t>
  </si>
  <si>
    <t xml:space="preserve">Цена × (1 − пошлина) − добыча и НДПИ − транспорт и транзит.</t>
  </si>
  <si>
    <t xml:space="preserve">«Сила Байкала»: доп. EBITDA в год на плато</t>
  </si>
  <si>
    <t xml:space="preserve">«Сила Байкала»: денежный поток после налога на прибыль</t>
  </si>
  <si>
    <t xml:space="preserve">Налог с EBITDA минус амортизация трубы.</t>
  </si>
  <si>
    <t xml:space="preserve">«Сила Байкала»: коэффициент аннуитета контракта</t>
  </si>
  <si>
    <t xml:space="preserve">«Сила Байкала»: стоимость, если контракт подписан</t>
  </si>
  <si>
    <t xml:space="preserve">«Сила Байкала»: вклад в цену (× вероятность)</t>
  </si>
  <si>
    <t xml:space="preserve">Если бы рынок уже сегодня оценивал компанию как до 2022 года. Без опционов — они считаются отдельно.</t>
  </si>
  <si>
    <t xml:space="preserve">Мир: «Северные потоки» после мира, вклад в цену</t>
  </si>
  <si>
    <t xml:space="preserve">Запуск в год мира, если до этого не запустили раньше.</t>
  </si>
  <si>
    <t xml:space="preserve">«Северные потоки»: прибавка к цене при 100% перезапуске</t>
  </si>
  <si>
    <t xml:space="preserve">Сколько добавит перезапуск, если он точно случится.</t>
  </si>
  <si>
    <t xml:space="preserve">«Сила Байкала»: прибавка к цене при подписании</t>
  </si>
  <si>
    <t xml:space="preserve">Минус означал бы, что проект уничтожает стоимость для акционеров.</t>
  </si>
  <si>
    <t xml:space="preserve">«Сила Байкала»: маржа окупаемости, $/тыс. м³</t>
  </si>
  <si>
    <t xml:space="preserve">При марже ниже этой проект не окупает капзатраты.</t>
  </si>
  <si>
    <t xml:space="preserve">«Сила Байкала»: цена для Китая для окупаемости, $/тыс. м³</t>
  </si>
  <si>
    <t xml:space="preserve">Если по контракту цена выйдет ниже этой — подписание будет плохой новостью для акционеров.</t>
  </si>
  <si>
    <t xml:space="preserve">EV/EBITDA при текущей цене</t>
  </si>
  <si>
    <t xml:space="preserve">Средняя цель 12 аналитиков</t>
  </si>
  <si>
    <t xml:space="preserve">etpinvest, 23.10.2026: 100–185 ₽; 6 «покупать», 6 «держать».</t>
  </si>
  <si>
    <t xml:space="preserve">ЧУВСТВИТЕЛЬНОСТЬ СПРАВЕДЛИВОЙ ЦЕНЫ, ₽: строки — EV/EBITDA, столбцы — EBITDA, млрд ₽</t>
  </si>
  <si>
    <t xml:space="preserve">EV/EBITDA \ EBITDA, млрд ₽</t>
  </si>
  <si>
    <t xml:space="preserve">ЧУВСТВИТЕЛЬНОСТЬ СПРАВЕДЛИВОЙ ЦЕНЫ, ₽: строки — вероятность «Северных потоков», столбцы — цена для Китая по «Силе Байкала», $/тыс. м³</t>
  </si>
  <si>
    <t xml:space="preserve">вероятность «Северных потоков» \ цена для Китая по «Силе Байкала», $/тыс. м³</t>
  </si>
  <si>
    <t xml:space="preserve">Тезис: Ставка на геополитику и экспорт. База слабая: газовый сегмент убыточен, долг 6 трлн ₽, дивидендов нет с 2022 года. Ценность сверх базы дают два опциона: «Северные потоки» (уцелевшая нитка почти не требует вложений) и «Сила Байкала» — при цене как у «Силы Сибири» (~$248) она окупает трубу и добавляет стоимость, но всё решает цена в контракте.</t>
  </si>
  <si>
    <t xml:space="preserve">• ЧД/EBITDA выше 2,5x — порог пересмотра дивполитики, выплаты отодвигаются ещё дальше</t>
  </si>
  <si>
    <t xml:space="preserve">• Новое повышение налогов: возврат надбавки к НДПИ или разовые изъятия</t>
  </si>
  <si>
    <t xml:space="preserve">• Контракт «Силы Байкала» с ценой ниже точки окупаемости (строка проверки) или капзатраты сильно выше 1 трлн ₽</t>
  </si>
  <si>
    <t xml:space="preserve">• Турция не продлевает контракты после 2026 года</t>
  </si>
  <si>
    <t xml:space="preserve">• Мирные переговоры и позиция ЕС по газу → вероятность «Северных потоков»</t>
  </si>
  <si>
    <t xml:space="preserve">• Переговоры Газпрома и CNPC по «Силе Байкала»: цена, объём, кто финансирует → цена для Китая и капзатраты</t>
  </si>
  <si>
    <t xml:space="preserve">• Решение по дивидендам за 2026 год (весна 2027), отчёт за 9М 2026</t>
  </si>
  <si>
    <t xml:space="preserve">• Цены на газ в Европе (TTF), экспорт в Китай и Турцию, индексация тарифов</t>
  </si>
  <si>
    <t xml:space="preserve">The Moscow Times, 28.08.2026 — МСФО 1П 2026: https://ru.themoscowtimes.com/2026/08/28/update-1-gazprom-sokratil-chistuyu-pribyl-aktsionerov-v-1-pol-na-12-gg-a204685</t>
  </si>
  <si>
    <t xml:space="preserve">www1.ru / ТАСС, 02.10.2026 — цена газа для Китая в материалах бюджета 2027–2029: https://www1.ru/news/2026/10/02/rossiia-podnimet-ceny-na-gaz-dlia-kitaia.html</t>
  </si>
  <si>
    <t xml:space="preserve">Слово и Дело, 20.10.2026 — Китай $247,9 против $562 для прочих покупателей в 2026: https://ru.slovoidilo.ua/2026/10/20/novost/mir/kitaj-budet-pokupat-gaz-rossii-rekordnoj-skidkoj-56</t>
  </si>
  <si>
    <t xml:space="preserve">The Moscow Times, 21.10.2026 — Новак о «Силе Байкала»: https://ru.themoscowtimes.com/2026/10/21/novak-gazprom-i-snpc-mogut-do-kontsa-26g-dogovoritsya-o-sile-baykala-agentstva-a209156</t>
  </si>
  <si>
    <t xml:space="preserve">The Moscow Times, 18.09.2026 — что такое «Сила Байкала», оценка капзатрат: https://ru.themoscowtimes.com/2026/09/18/chto-takoe-sila-baikala-a206461</t>
  </si>
  <si>
    <t xml:space="preserve">Профиль, 18.10.2026 — NYT о газе и «Северном потоке» в мирном плане: https://profile.ru/news/politics/nyt-mirnyj-plan-trampa-vkljuchaet-predlozhenie-es-vozobnovit-zakupki-rossijskogo-gaza-a999-1913912/</t>
  </si>
  <si>
    <t xml:space="preserve">etpinvest — консенсус 12 аналитиков: https://etpinvest.ru/quote/gazp/forecast/</t>
  </si>
  <si>
    <t xml:space="preserve">NLMK — НЛМК: модель справедливой стоимости</t>
  </si>
  <si>
    <t xml:space="preserve">Метод: EV/EBITDA на нормализованную (среднецикличную) EBITDA с дисконтом за ожидание</t>
  </si>
  <si>
    <t xml:space="preserve">Металлург на дне цикла: текущая EBITDA занижена, оценивать по ней — продать на дне. Берём EBITDA «нормального» года (выручка × среднецикличная маржа), умножаем на мультипликатор, дисконтируем за годы до восстановления спроса и прибавляем чистый кэш.</t>
  </si>
  <si>
    <t xml:space="preserve">Выручка нормального года</t>
  </si>
  <si>
    <t xml:space="preserve">2025: 831,4 млрд (−15%); LTM на 30.06.2026: 780 млрд. Берём уровень 2025 — без расчёта на возврат к пику 2021–2022.</t>
  </si>
  <si>
    <t xml:space="preserve">Среднецикличная маржа EBITDA</t>
  </si>
  <si>
    <t xml:space="preserve">2024 ≈ 26%, 2025 — 16,9%, 1П 2026 — 14,8% (дно). Берём 20% — середину, ниже исторических 25–30% из‑за потери экспорта.</t>
  </si>
  <si>
    <t xml:space="preserve">До 2022 НЛМК стоил 5–6x при выплате 100% FCF; сейчас дивидендов нет два года подряд — дисконт до 4x.</t>
  </si>
  <si>
    <t xml:space="preserve">Лет до восстановления спроса</t>
  </si>
  <si>
    <t xml:space="preserve">НКР: восстановление спроса не раньше 2П 2027, заметное — в 2028; Т-Инвестиции допускают, что 2026 — дно.</t>
  </si>
  <si>
    <t xml:space="preserve">Чистый долг (минус = чистый кэш)</t>
  </si>
  <si>
    <t xml:space="preserve">На 30.06.2026: кэш 80,3 млрд, долг 39,7 млрд (МСФО 1П 2026).</t>
  </si>
  <si>
    <t xml:space="preserve">5 993 227 240 акций; 5,993 × 76,38 ₽ = 457,8 млрд ₽ капитализации.</t>
  </si>
  <si>
    <t xml:space="preserve">EBITDA 2026П (для проверки)</t>
  </si>
  <si>
    <t xml:space="preserve">1П 2026: 57,2 млрд × 2.</t>
  </si>
  <si>
    <t xml:space="preserve">НЛМК в 2017–2021 стоил ~5–6x EBITDA при выплате 100% FCF.</t>
  </si>
  <si>
    <t xml:space="preserve">Мир: маржа EBITDA после снятия санкций</t>
  </si>
  <si>
    <t xml:space="preserve">До 2022 маржа EBITDA НЛМК была 25–30%; после снятия санкций возвращается экспорт в ЕС и США. Берём 24%.</t>
  </si>
  <si>
    <t xml:space="preserve">Рост выручки и EBITDA в среднем за 5 лет.</t>
  </si>
  <si>
    <t xml:space="preserve">Нормализованная EBITDA</t>
  </si>
  <si>
    <t xml:space="preserve">Стоимость бизнеса в нормальный год</t>
  </si>
  <si>
    <t xml:space="preserve">Стоимость бизнеса сегодня (дисконт за ожидание)</t>
  </si>
  <si>
    <t xml:space="preserve">EV/EBITDA 2026П при текущей цене</t>
  </si>
  <si>
    <t xml:space="preserve">Рынок уже платит ~3,6x даже за дно цикла.</t>
  </si>
  <si>
    <t xml:space="preserve">EV/нормализованная EBITDA при текущей цене</t>
  </si>
  <si>
    <t xml:space="preserve">Цель Финама (июль 2026)</t>
  </si>
  <si>
    <t xml:space="preserve">Единственная свежая цель брокера; консенсус не найден.</t>
  </si>
  <si>
    <t xml:space="preserve">ЧУВСТВИТЕЛЬНОСТЬ СПРАВЕДЛИВОЙ ЦЕНЫ, ₽: строки — EV/EBITDA, столбцы — маржа EBITDA</t>
  </si>
  <si>
    <t xml:space="preserve">EV/EBITDA \ маржа EBITDA</t>
  </si>
  <si>
    <t xml:space="preserve">Тезис: Один из самых эффективных металлургов мира с чистым кэшем на балансе. Сейчас дно цикла: спрос на сталь в РФ падает третий год, рубль крепкий, экспорт ограничен. При снижении ставки строительство и спрос восстанавливаются, маржа возвращается к 20%+, и акция переоценивается. Слабое место — дивидендов нет с 2024 года.</t>
  </si>
  <si>
    <t xml:space="preserve">• Дивиденды не возобновлены и после возврата FCF в плюс (решение по итогам 2026 года, весна 2027)</t>
  </si>
  <si>
    <t xml:space="preserve">• Чистый долг выше 1x EBITDA — крупная сделка или выкуп активов у мажоритария</t>
  </si>
  <si>
    <t xml:space="preserve">• Спрос на сталь в РФ в 2027 году падает ещё более чем на 10%</t>
  </si>
  <si>
    <t xml:space="preserve">• Маржа EBITDA ниже 12% два полугодия подряд</t>
  </si>
  <si>
    <t xml:space="preserve">• Ужесточение налога на сверхдоходы металлургов сверх параметров октября 2026</t>
  </si>
  <si>
    <t xml:space="preserve">• Спрос и цены на сталь в РФ (Северсталь, Cbonds: арматура, горячий прокат)</t>
  </si>
  <si>
    <t xml:space="preserve">• Отчёты Северстали и ММК как опережающий индикатор</t>
  </si>
  <si>
    <t xml:space="preserve">• Курс рубля и экспортные цены на заготовку и слябы</t>
  </si>
  <si>
    <t xml:space="preserve">• Решения по дивидендам и налогу на сверхдоходы</t>
  </si>
  <si>
    <t xml:space="preserve">Smart-Lab — МСФО НЛМК: https://smart-lab.ru/q/NLMK/f/y/MSFO/</t>
  </si>
  <si>
    <t xml:space="preserve">Fomag — результаты 1П 2026: https://fomag.ru/news/nlmk-finansovye-rezultaty-1p26-msfo/</t>
  </si>
  <si>
    <t xml:space="preserve">InvestFuture — отказ от дивидендов за 2025: https://investfuture.ru/articles/nlmk-ne-budet-vyplachivat-dividendy-za-2025-god</t>
  </si>
  <si>
    <t xml:space="preserve">The Moscow Times — спрос на сталь за 8М 2026: https://ru.themoscowtimes.com/2026/10/02/spros-na-stal-v-rossii-za-8-mes-26g-upal-na-16-gg-severstal-a207614</t>
  </si>
  <si>
    <t xml:space="preserve">The Moscow Times — налог на сверхдоходы металлургов: https://ru.themoscowtimes.com/2026/10/01/update-1-metallurgi-rf-zaplatyat-nalog-na-sverkhdokhody-26-28gg-pri-prevyshenii-mirovymi-tsenami-bazy-25g-na-10-a207525</t>
  </si>
  <si>
    <t xml:space="preserve">Эксперт РА — рейтинг ruAAA, 21.10.2026: https://raexpert.ru/releases/2026/oct21c</t>
  </si>
  <si>
    <t xml:space="preserve">BSPB — Банк Санкт-Петербург: модель справедливой стоимости</t>
  </si>
  <si>
    <t xml:space="preserve">Для справки: позиции в портфеле нет. Банк платит 50% прибыли по МСФО дважды в год, поэтому стоимость акции = дивиденд / (требуемая доходность − рост дивиденда). Проверка — P/E и ROE против истории банка.</t>
  </si>
  <si>
    <t xml:space="preserve">Менеджмент снизил прогноз с 35 до 30 млрд (август 2026); 1П 2026 МСФО: 16,5 млрд (−33% г/г); 9М 2026 РСБУ: 24,3 млрд после налога. Прибыль падает вместе со ставкой: у банка много дешёвых остатков на счетах.</t>
  </si>
  <si>
    <t xml:space="preserve">Политика: 20–50% прибыли МСФО; фактически платит 50% (за 1П 2026 — 19,17 ₽, за 2П 2025 — 26,23 ₽).</t>
  </si>
  <si>
    <t xml:space="preserve">Обыкновенных акций в обращении</t>
  </si>
  <si>
    <t xml:space="preserve">~445,4 млн (investmint, капитализация 114,4 млрд ₽ при 257 ₽). Привилегированные получают символические 0,22 ₽ и не учитываются.</t>
  </si>
  <si>
    <t xml:space="preserve">Региональный банк с контролирующим акционером; аналитики отмечают рост рисков у небольших банков при жёсткой ДКП (Freedom, август 2026).</t>
  </si>
  <si>
    <t xml:space="preserve">Устойчивый рост ≈ ROE ~14% × нераспределённая прибыль 50% ≈ 7%; берём 6%.</t>
  </si>
  <si>
    <t xml:space="preserve">Собственный капитал (для проверки)</t>
  </si>
  <si>
    <t xml:space="preserve">На 01.10.2026 по РСБУ (Фонтанка); по МСФО на 30.06.2026 — 218,4 млрд.</t>
  </si>
  <si>
    <t xml:space="preserve">В 2019–2021 банк стоил ~3,5–4,5 годовые прибыли при ROE 10–12%. Берём 4,5x.</t>
  </si>
  <si>
    <t xml:space="preserve">Дивиденд за 2026 (1П выплачен, 2П — весной 2027)</t>
  </si>
  <si>
    <t xml:space="preserve">P/E при справедливой цене</t>
  </si>
  <si>
    <t xml:space="preserve">Исторически банк стоил 3–4,5 годовые прибыли.</t>
  </si>
  <si>
    <t xml:space="preserve">ROE 2026П</t>
  </si>
  <si>
    <t xml:space="preserve">В 2023–2024 было 25%+; падает вместе со ставкой.</t>
  </si>
  <si>
    <t xml:space="preserve">Цель Freedom Global</t>
  </si>
  <si>
    <t xml:space="preserve">21.08.2026: «держать», цель снижена с 375 до 280 ₽.</t>
  </si>
  <si>
    <t xml:space="preserve">Тезис: Крупнейший частный банк Северо-Запада, платит 50% прибыли дважды в год и исторически стоит дёшево (3–4 годовые прибыли). Прибыль снижается вместе со ставкой ЦБ — высокие ставки были банку выгодны. Позиции нет: держим для сравнения со Сбером и как кандидата при дивдоходности 15%+.</t>
  </si>
  <si>
    <t xml:space="preserve">• ROE ниже 12% или прогноз прибыли 2026 снова снижен (ниже 27 млрд ₽)</t>
  </si>
  <si>
    <t xml:space="preserve">• Доля прибыли на дивиденды ниже 50% или отказ от промежуточных выплат</t>
  </si>
  <si>
    <t xml:space="preserve">• Стоимость риска выше 2% — ухудшение качества кредитов у региональных заёмщиков</t>
  </si>
  <si>
    <t xml:space="preserve">• Достаточность капитала приближается к минимуму ЦБ</t>
  </si>
  <si>
    <t xml:space="preserve">• Ежемесячная РСБУ и квартальная МСФО → вводная «Чистая прибыль 2026П»</t>
  </si>
  <si>
    <t xml:space="preserve">• Рекомендация по дивидендам за 2П 2026 (весна 2027)</t>
  </si>
  <si>
    <t xml:space="preserve">• Решения ЦБ по ставке: снижение ставки давит на процентный доход банка</t>
  </si>
  <si>
    <t xml:space="preserve">• Обратный выкуп акций и сделки контролирующего акционера</t>
  </si>
  <si>
    <t xml:space="preserve">Fomag / Freedom Global, 21.08.2026 — МСФО 1П 2026, прогноз прибыли снижен до 30 млрд: https://fomag.ru/news/otchet-bsp-stal-povodom-dlya-peresmotra-targeta-vniz/</t>
  </si>
  <si>
    <t xml:space="preserve">Dohod.ru — дивиденд за 1П 2026: https://www.dohod.ru/analytic/research/bank-sankt-peterburg-%E2%80%93-dividendy-za-i-2026</t>
  </si>
  <si>
    <t xml:space="preserve">Фонтанка, 16.10.2026 — РСБУ за 9М 2026: https://www.fontanka.ru/2026/10/16/76704573/</t>
  </si>
  <si>
    <t xml:space="preserve">investmint — история дивидендов и число акций: https://investmint.ru/bspb/</t>
  </si>
  <si>
    <t xml:space="preserve">Журнал изменений оценок</t>
  </si>
  <si>
    <t xml:space="preserve">Каждое изменение справедливой цены — с причиной и источником. Изменения больше 10% бот только предлагает, применяете вы.</t>
  </si>
  <si>
    <t xml:space="preserve">Дата</t>
  </si>
  <si>
    <t xml:space="preserve">Что изменилось</t>
  </si>
  <si>
    <t xml:space="preserve">Было</t>
  </si>
  <si>
    <t xml:space="preserve">Стало</t>
  </si>
  <si>
    <t xml:space="preserve">Справедливая после, ₽</t>
  </si>
  <si>
    <t xml:space="preserve">Причина</t>
  </si>
  <si>
    <t xml:space="preserve">Источник</t>
  </si>
  <si>
    <t xml:space="preserve">Кто</t>
  </si>
  <si>
    <t xml:space="preserve">24.10.2026</t>
  </si>
  <si>
    <t xml:space="preserve">Модель создана</t>
  </si>
  <si>
    <t xml:space="preserve">Первичная оценка: Дивиденды (Гордон).</t>
  </si>
  <si>
    <t xml:space="preserve">Claude</t>
  </si>
  <si>
    <t xml:space="preserve">Первичная оценка: EV/EBITDA от золота.</t>
  </si>
  <si>
    <t xml:space="preserve">Первичная оценка: P/E на NIC 2027П.</t>
  </si>
  <si>
    <t xml:space="preserve">Первичная оценка: EV/EBITDA 2027П.</t>
  </si>
  <si>
    <t xml:space="preserve">Первичная оценка: Выплаты акционерам (Гордон).</t>
  </si>
  <si>
    <t xml:space="preserve">Первичная оценка: EV/EBITDA + опционы.</t>
  </si>
  <si>
    <t xml:space="preserve">Первичная оценка: EV/EBITDA цикла.</t>
  </si>
  <si>
    <t xml:space="preserve">Добавлены опционы «Северные потоки» и «Сила Байкала»</t>
  </si>
  <si>
    <t xml:space="preserve">113,84</t>
  </si>
  <si>
    <t xml:space="preserve">111,79</t>
  </si>
  <si>
    <t xml:space="preserve">Первая версия опционов (цена для Китая $224 по майскому прогнозу МЭР). Пересмотрено 25.10.</t>
  </si>
  <si>
    <t xml:space="preserve">25.10.2026</t>
  </si>
  <si>
    <t xml:space="preserve">Цена «Силы Байкала» = цена «Силы Сибири»; опционы пересобраны</t>
  </si>
  <si>
    <t xml:space="preserve">$224</t>
  </si>
  <si>
    <t xml:space="preserve">$247,9</t>
  </si>
  <si>
    <t xml:space="preserve">По указанию пользователя. Цена «Силы Сибири» по материалам бюджета (ТАСС, 02.10.2026): $247,9 в 2026, $251,3 в 2027. Исправлены две ошибки модели: транспорт считался и в марже, и в капзатратах; долларовые потоки дисконтировались рублёвой ставкой при постоянном курсе. Добавлен налог на прибыль. «Сила Байкала» теперь +6,2 ₽ вместо −5,2 ₽, окупаемость при цене от ~$195.</t>
  </si>
  <si>
    <t xml:space="preserve">https://www1.ru/news/2026/10/02/rossiia-podnimet-ceny-na-gaz-dlia-kitaia.html</t>
  </si>
  <si>
    <t xml:space="preserve">3 500</t>
  </si>
  <si>
    <t xml:space="preserve">3 350</t>
  </si>
  <si>
    <t xml:space="preserve">Независимая проверка: 3 500 выше LTM и прогноза компании (~3,1 трлн); 1П сезонно сильнее. Берём LTM.</t>
  </si>
  <si>
    <t xml:space="preserve">https://ru.themoscowtimes.com/2026/06/26/update-1-gazprom-zhdet-rosta-ebitda-v-26g-na-6-7-za-schet-postavok-gaza-v-rf-i-kitay-povysheniya-tsen-a199276</t>
  </si>
  <si>
    <t xml:space="preserve">Доли меньшинства и ассоциированные компании</t>
  </si>
  <si>
    <t xml:space="preserve">—</t>
  </si>
  <si>
    <t xml:space="preserve">−360 / +520 млрд</t>
  </si>
  <si>
    <t xml:space="preserve">EBITDA консолидированная: вычтены чужие доли в «дочках», добавлены доли в «Славнефти», «Арктикгазе» и др. Оценки модели, уточнить по МСФО.</t>
  </si>
  <si>
    <t xml:space="preserve">Мультипликатор и база</t>
  </si>
  <si>
    <t xml:space="preserve">5,0x к EBITDA 2027</t>
  </si>
  <si>
    <t xml:space="preserve">4,5x к EBITDA 2027 после выплат акциями</t>
  </si>
  <si>
    <t xml:space="preserve">Проверка: 5x обосновывался сравнением с рынком на 2026, а применялся к 2027 (= 5,75x на 2026). Выплаты сотрудникам акциями (~40 млрд в год) вычтены из EBITDA.</t>
  </si>
  <si>
    <t xml:space="preserve">Число акций</t>
  </si>
  <si>
    <t xml:space="preserve">407,9 млн</t>
  </si>
  <si>
    <t xml:space="preserve">383 млн</t>
  </si>
  <si>
    <t xml:space="preserve">Брались все выпущенные плюс допэмиссия; теперь — акции в обращении (382,1 млн за 1П 2026). Новые акции для сотрудников уже учтены через выплаты акциями.</t>
  </si>
  <si>
    <t xml:space="preserve">https://yastatic.net/s3/ir-docs/docs/2026/q2/9616f5e520b9c0d999be8066069d154d/2Q26_Press_Release_ENG_99be.pdf</t>
  </si>
  <si>
    <t xml:space="preserve">Налог на сверхдоходы</t>
  </si>
  <si>
    <t xml:space="preserve">25 млрд в год из EBITDA</t>
  </si>
  <si>
    <t xml:space="preserve">25 млрд разово, как долг</t>
  </si>
  <si>
    <t xml:space="preserve">Налог берётся с доходов 2026 года (законопроект Минфина, 20% для золотодобытчиков); вычитать его каждый год было ошибкой. Постоянный рост НДПИ — отдельная вводная, сейчас 0.</t>
  </si>
  <si>
    <t xml:space="preserve">https://interfax.ru/business/1118171</t>
  </si>
  <si>
    <t xml:space="preserve">33,3 (30.06.2026)</t>
  </si>
  <si>
    <t xml:space="preserve">38,3 (конец 2026П)</t>
  </si>
  <si>
    <t xml:space="preserve">Долг на дату оценки: FCF во 2П 2026 ожидается отрицательным (~−5 млрд).</t>
  </si>
  <si>
    <t xml:space="preserve">Добавлена проверка по длинным ОФЗ</t>
  </si>
  <si>
    <t xml:space="preserve">296 ₽ при ставке ОФЗ</t>
  </si>
  <si>
    <t xml:space="preserve">Длинные ОФЗ дают ~16,6%. Если ставка = ОФЗ + 6% при прежнем росте, справедливая ≈ 296 ₽. Базовая модель не изменена: она опирается на прогноз ставки ЦБ.</t>
  </si>
  <si>
    <t xml:space="preserve">https://smart-lab.ru/bonds/ofz</t>
  </si>
  <si>
    <t xml:space="preserve">170 ₽ при ставке ОФЗ</t>
  </si>
  <si>
    <t xml:space="preserve">То же для МТС: при ставке длинных ОФЗ справедливая ≈ 170 ₽.</t>
  </si>
  <si>
    <t xml:space="preserve">Ущерб от атак на ЦОДы</t>
  </si>
  <si>
    <t xml:space="preserve">110 млрд</t>
  </si>
  <si>
    <t xml:space="preserve">20 млрд</t>
  </si>
  <si>
    <t xml:space="preserve">По оценке пользователя. Компания ущерб не раскрыла; облако — 2–4% выручки. Уточнится в отчёте за 3К (29.10.2026).</t>
  </si>
  <si>
    <t xml:space="preserve">Пользователь</t>
  </si>
  <si>
    <t xml:space="preserve">Добавлен ИИ-блок (лист «Параметры»)</t>
  </si>
  <si>
    <t xml:space="preserve">рынок 778 млрд ₽ в 2030 × 17x</t>
  </si>
  <si>
    <t xml:space="preserve">По указанию пользователя: ИИ-бизнес оценивается как у OpenAI (28x выручки), Anthropic (15x) и Alphabet (8x), рынок — только РФ, его делят российские игроки. Поправка на стоимость денег в РФ = 1,0; консервативный вариант (0,2) — в строках проверки.</t>
  </si>
  <si>
    <t xml:space="preserve">https://just-ai.com/blog/rossijskij-rynok-genai-vyrastet-do-778-mlrd-rub-k-kontsu-2030-goda</t>
  </si>
  <si>
    <t xml:space="preserve">ИИ-блок: доля 40% рынка генИИ</t>
  </si>
  <si>
    <t xml:space="preserve">4 188,64</t>
  </si>
  <si>
    <t xml:space="preserve">11 063,27</t>
  </si>
  <si>
    <t xml:space="preserve">+6 875 ₽ на акцию. При скидке рынка РФ к США (0,2) прибавка 1 375 ₽, справедливая 5 564 ₽.</t>
  </si>
  <si>
    <t xml:space="preserve">392,42</t>
  </si>
  <si>
    <t xml:space="preserve">508,99</t>
  </si>
  <si>
    <t xml:space="preserve">+117 ₽ на акцию (GigaChat). При скидке рынка РФ к США прибавка 23 ₽, справедливая 416 ₽.</t>
  </si>
  <si>
    <t xml:space="preserve">ИИ-блок: доля 5% рынка генИИ</t>
  </si>
  <si>
    <t xml:space="preserve">206,05</t>
  </si>
  <si>
    <t xml:space="preserve">370,74</t>
  </si>
  <si>
    <t xml:space="preserve">+165 ₽ на акцию (MWS AI). При скидке рынка РФ к США прибавка 33 ₽, справедливая 239 ₽.</t>
  </si>
  <si>
    <t xml:space="preserve">Добавлен сценарий мира (лист «Параметры»)</t>
  </si>
  <si>
    <t xml:space="preserve">100%, через 5 лет</t>
  </si>
  <si>
    <t xml:space="preserve">По указанию пользователя: мир и снятие всех санкций через 5 лет. К этому году рынок возвращается к оценкам до 2022 года; прибавка приводится к сегодняшнему дню. Вероятность и срок — ячейки на «Параметрах».</t>
  </si>
  <si>
    <t xml:space="preserve">Сценарий мира: мультипликатор как до 2022 года (6.0x)</t>
  </si>
  <si>
    <t xml:space="preserve">586,31</t>
  </si>
  <si>
    <t xml:space="preserve">Сценарий мира: мультипликатор как до 2022 года (7.0x)</t>
  </si>
  <si>
    <t xml:space="preserve">1 288,82</t>
  </si>
  <si>
    <t xml:space="preserve">1 932,38</t>
  </si>
  <si>
    <t xml:space="preserve">Сценарий мира: мультипликатор как до 2022 года (15.0x)</t>
  </si>
  <si>
    <t xml:space="preserve">1 381,75</t>
  </si>
  <si>
    <t xml:space="preserve">1 964,06</t>
  </si>
  <si>
    <t xml:space="preserve">584,66</t>
  </si>
  <si>
    <t xml:space="preserve">842,54</t>
  </si>
  <si>
    <t xml:space="preserve">Сценарий мира: мультипликатор как до 2022 года (10.0x)</t>
  </si>
  <si>
    <t xml:space="preserve">14 907,66</t>
  </si>
  <si>
    <t xml:space="preserve">Сценарий мира: мультипликатор как до 2022 года (4.5x)</t>
  </si>
  <si>
    <t xml:space="preserve">490,01</t>
  </si>
  <si>
    <t xml:space="preserve">Сценарий мира: мультипликатор как до 2022 года (3.2x)</t>
  </si>
  <si>
    <t xml:space="preserve">114,95</t>
  </si>
  <si>
    <t xml:space="preserve">174,45</t>
  </si>
  <si>
    <t xml:space="preserve">Сценарий мира: мультипликатор как до 2022 года (5.5x)</t>
  </si>
  <si>
    <t xml:space="preserve">92,14</t>
  </si>
  <si>
    <t xml:space="preserve">121,81</t>
  </si>
  <si>
    <t xml:space="preserve">Вероятность мира и снятия санкций</t>
  </si>
  <si>
    <t xml:space="preserve">100%</t>
  </si>
  <si>
    <t xml:space="preserve">50%</t>
  </si>
  <si>
    <t xml:space="preserve">Решение пользователя. Прибавка от мира по всем бумагам уменьшилась вдвое.</t>
  </si>
  <si>
    <t xml:space="preserve">Модель создана (для справки, позиции нет)</t>
  </si>
  <si>
    <t xml:space="preserve">258,09</t>
  </si>
  <si>
    <t xml:space="preserve">По просьбе пользователя. Дивиденды (Гордон): прибыль 2026П 30 млрд (прогноз менеджмента), 50% на дивиденды, r 20%, g 6% → 241 ₽; сценарий мира +18 ₽.</t>
  </si>
  <si>
    <t xml:space="preserve">https://fomag.ru/news/otchet-bsp-stal-povodom-dlya-peresmotra-targeta-vniz/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</si>
</sst>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#,##0.00;\(#,##0.00\);\-"/>
    <numFmt numFmtId="167" formatCode="0.0%;\(0.0%\);\-"/>
    <numFmt numFmtId="168" formatCode="#,##0;\(#,##0\);\-"/>
    <numFmt numFmtId="169" formatCode="dd\.mm\.yyyy"/>
    <numFmt numFmtId="170" formatCode="#,##0.000;\(#,##0.000\);\-"/>
    <numFmt numFmtId="171" formatCode="#,##0.0;\(#,##0.0\);\-"/>
    <numFmt numFmtId="172" formatCode="0.0\x;\(0.0&quot;x)&quot;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7" min="5" style="0" width="15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24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8"/>
    <col collapsed="false" customWidth="true" hidden="false" outlineLevel="0" max="15" min="15" style="0" width="15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"Котировки на "&amp;TEXT(Параметры!$B$5,"DD.MM.YYYY")&amp;" · текущие цены — столбец D (жёлтый) · правила зон — на листе «Параметры»"</f>
        <v>Котировки на 24.10.2026 · текущие цены — столбец D (жёлтый) · правила зон — на листе «Параметры»</v>
      </c>
    </row>
    <row r="4" customFormat="false" ht="30" hidden="false" customHeight="tru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customFormat="false" ht="15" hidden="false" customHeight="false" outlineLevel="0" collapsed="false">
      <c r="A5" s="4" t="s">
        <v>17</v>
      </c>
      <c r="B5" s="5" t="s">
        <v>18</v>
      </c>
      <c r="C5" s="5" t="s">
        <v>19</v>
      </c>
      <c r="D5" s="6" t="n">
        <v>292.32</v>
      </c>
      <c r="E5" s="7" t="n">
        <f aca="false">SBER!$B$39</f>
        <v>547.652410903363</v>
      </c>
      <c r="F5" s="7" t="n">
        <f aca="false">SBER!$B$41</f>
        <v>421.69235639559</v>
      </c>
      <c r="G5" s="7" t="n">
        <f aca="false">SBER!$B$43</f>
        <v>613.91835262267</v>
      </c>
      <c r="H5" s="7" t="n">
        <f aca="false">SBER!$B$42</f>
        <v>646.229844865969</v>
      </c>
      <c r="I5" s="8" t="n">
        <f aca="false">IF(D5&gt;0,E5/D5-1,0)</f>
        <v>0.873468838613039</v>
      </c>
      <c r="J5" s="8" t="n">
        <f aca="false">IF(D5&gt;0,H5/D5-1,0)</f>
        <v>1.21069322956339</v>
      </c>
      <c r="K5" s="4" t="str">
        <f aca="false">IF(D5&lt;=F5,"ЗОНА ПОКУПКИ",IF(D5&gt;=H5,"ЦЕНА ПРОДАЖИ",IF(D5&gt;=G5,"ПРИБЛИЖАЕТСЯ К ПРОДАЖЕ","ДЕРЖАТЬ")))</f>
        <v>ЗОНА ПОКУПКИ</v>
      </c>
      <c r="L5" s="9" t="n">
        <f aca="false">SUMIF(Портфели!$B:$B,A5,Портфели!$D:$D)</f>
        <v>192</v>
      </c>
      <c r="M5" s="10" t="n">
        <f aca="false">L5*D5</f>
        <v>56125.44</v>
      </c>
      <c r="N5" s="11" t="n">
        <f aca="false">IF(Портфели!$G$18&gt;0,M5/Портфели!$G$18,0)</f>
        <v>0.20361490257126</v>
      </c>
      <c r="O5" s="7" t="n">
        <f aca="false">SBER!$B$33</f>
        <v>508.992813074044</v>
      </c>
      <c r="P5" s="12" t="n">
        <f aca="false">E5-O5</f>
        <v>38.6595978293192</v>
      </c>
    </row>
    <row r="6" customFormat="false" ht="15" hidden="false" customHeight="false" outlineLevel="0" collapsed="false">
      <c r="A6" s="4" t="s">
        <v>20</v>
      </c>
      <c r="B6" s="5" t="s">
        <v>21</v>
      </c>
      <c r="C6" s="5" t="s">
        <v>22</v>
      </c>
      <c r="D6" s="6" t="n">
        <v>1098.2</v>
      </c>
      <c r="E6" s="7" t="n">
        <f aca="false">PLZL!$B$38</f>
        <v>1610.6026390187</v>
      </c>
      <c r="F6" s="7" t="n">
        <f aca="false">PLZL!$B$40</f>
        <v>1240.1640320444</v>
      </c>
      <c r="G6" s="7" t="n">
        <f aca="false">PLZL!$B$42</f>
        <v>1805.48555833996</v>
      </c>
      <c r="H6" s="7" t="n">
        <f aca="false">PLZL!$B$41</f>
        <v>1900.51111404207</v>
      </c>
      <c r="I6" s="8" t="n">
        <f aca="false">IF(D6&gt;0,E6/D6-1,0)</f>
        <v>0.466584082151431</v>
      </c>
      <c r="J6" s="8" t="n">
        <f aca="false">IF(D6&gt;0,H6/D6-1,0)</f>
        <v>0.730569216938688</v>
      </c>
      <c r="K6" s="4" t="str">
        <f aca="false">IF(D6&lt;=F6,"ЗОНА ПОКУПКИ",IF(D6&gt;=H6,"ЦЕНА ПРОДАЖИ",IF(D6&gt;=G6,"ПРИБЛИЖАЕТСЯ К ПРОДАЖЕ","ДЕРЖАТЬ")))</f>
        <v>ЗОНА ПОКУПКИ</v>
      </c>
      <c r="L6" s="9" t="n">
        <f aca="false">SUMIF(Портфели!$B:$B,A6,Портфели!$D:$D)</f>
        <v>41</v>
      </c>
      <c r="M6" s="10" t="n">
        <f aca="false">L6*D6</f>
        <v>45026.2</v>
      </c>
      <c r="N6" s="11" t="n">
        <f aca="false">IF(Портфели!$G$18&gt;0,M6/Портфели!$G$18,0)</f>
        <v>0.163348480228468</v>
      </c>
      <c r="O6" s="7" t="n">
        <f aca="false">PLZL!$B$32</f>
        <v>1288.82307894737</v>
      </c>
      <c r="P6" s="12" t="n">
        <f aca="false">E6-O6</f>
        <v>321.779560071333</v>
      </c>
    </row>
    <row r="7" customFormat="false" ht="15" hidden="false" customHeight="false" outlineLevel="0" collapsed="false">
      <c r="A7" s="4" t="s">
        <v>23</v>
      </c>
      <c r="B7" s="5" t="s">
        <v>24</v>
      </c>
      <c r="C7" s="5" t="s">
        <v>25</v>
      </c>
      <c r="D7" s="6" t="n">
        <v>1176.8</v>
      </c>
      <c r="E7" s="7" t="n">
        <f aca="false">POSI!$B$30</f>
        <v>1672.90569154703</v>
      </c>
      <c r="F7" s="7" t="n">
        <f aca="false">POSI!$B$32</f>
        <v>1288.13738249121</v>
      </c>
      <c r="G7" s="7" t="n">
        <f aca="false">POSI!$B$34</f>
        <v>1875.32728022422</v>
      </c>
      <c r="H7" s="7" t="n">
        <f aca="false">POSI!$B$33</f>
        <v>1974.02871602549</v>
      </c>
      <c r="I7" s="8" t="n">
        <f aca="false">IF(D7&gt;0,E7/D7-1,0)</f>
        <v>0.421571797711615</v>
      </c>
      <c r="J7" s="8" t="n">
        <f aca="false">IF(D7&gt;0,H7/D7-1,0)</f>
        <v>0.677454721299705</v>
      </c>
      <c r="K7" s="4" t="str">
        <f aca="false">IF(D7&lt;=F7,"ЗОНА ПОКУПКИ",IF(D7&gt;=H7,"ЦЕНА ПРОДАЖИ",IF(D7&gt;=G7,"ПРИБЛИЖАЕТСЯ К ПРОДАЖЕ","ДЕРЖАТЬ")))</f>
        <v>ЗОНА ПОКУПКИ</v>
      </c>
      <c r="L7" s="9" t="n">
        <f aca="false">SUMIF(Портфели!$B:$B,A7,Портфели!$D:$D)</f>
        <v>32</v>
      </c>
      <c r="M7" s="10" t="n">
        <f aca="false">L7*D7</f>
        <v>37657.6</v>
      </c>
      <c r="N7" s="11" t="n">
        <f aca="false">IF(Портфели!$G$18&gt;0,M7/Портфели!$G$18,0)</f>
        <v>0.136616275169824</v>
      </c>
      <c r="O7" s="7" t="n">
        <f aca="false">POSI!$B$24</f>
        <v>1381.75077934114</v>
      </c>
      <c r="P7" s="12" t="n">
        <f aca="false">E7-O7</f>
        <v>291.154912205888</v>
      </c>
    </row>
    <row r="8" customFormat="false" ht="15" hidden="false" customHeight="false" outlineLevel="0" collapsed="false">
      <c r="A8" s="4" t="s">
        <v>26</v>
      </c>
      <c r="B8" s="5" t="s">
        <v>27</v>
      </c>
      <c r="C8" s="5" t="s">
        <v>28</v>
      </c>
      <c r="D8" s="6" t="n">
        <v>407</v>
      </c>
      <c r="E8" s="7" t="n">
        <f aca="false">PRMD!$B$32</f>
        <v>713.598243285858</v>
      </c>
      <c r="F8" s="7" t="n">
        <f aca="false">PRMD!$B$34</f>
        <v>549.47064733011</v>
      </c>
      <c r="G8" s="7" t="n">
        <f aca="false">PRMD!$B$36</f>
        <v>799.943630723446</v>
      </c>
      <c r="H8" s="7" t="n">
        <f aca="false">PRMD!$B$35</f>
        <v>842.045927077312</v>
      </c>
      <c r="I8" s="8" t="n">
        <f aca="false">IF(D8&gt;0,E8/D8-1,0)</f>
        <v>0.753312637065989</v>
      </c>
      <c r="J8" s="8" t="n">
        <f aca="false">IF(D8&gt;0,H8/D8-1,0)</f>
        <v>1.06890891173787</v>
      </c>
      <c r="K8" s="4" t="str">
        <f aca="false">IF(D8&lt;=F8,"ЗОНА ПОКУПКИ",IF(D8&gt;=H8,"ЦЕНА ПРОДАЖИ",IF(D8&gt;=G8,"ПРИБЛИЖАЕТСЯ К ПРОДАЖЕ","ДЕРЖАТЬ")))</f>
        <v>ЗОНА ПОКУПКИ</v>
      </c>
      <c r="L8" s="9" t="n">
        <f aca="false">SUMIF(Портфели!$B:$B,A8,Портфели!$D:$D)</f>
        <v>79</v>
      </c>
      <c r="M8" s="10" t="n">
        <f aca="false">L8*D8</f>
        <v>32153</v>
      </c>
      <c r="N8" s="11" t="n">
        <f aca="false">IF(Портфели!$G$18&gt;0,M8/Портфели!$G$18,0)</f>
        <v>0.116646389985962</v>
      </c>
      <c r="O8" s="7" t="n">
        <f aca="false">PRMD!$B$26</f>
        <v>584.658823529412</v>
      </c>
      <c r="P8" s="12" t="n">
        <f aca="false">E8-O8</f>
        <v>128.939419756446</v>
      </c>
    </row>
    <row r="9" customFormat="false" ht="15" hidden="false" customHeight="false" outlineLevel="0" collapsed="false">
      <c r="A9" s="4" t="s">
        <v>29</v>
      </c>
      <c r="B9" s="5" t="s">
        <v>30</v>
      </c>
      <c r="C9" s="5" t="s">
        <v>28</v>
      </c>
      <c r="D9" s="6" t="n">
        <v>3400</v>
      </c>
      <c r="E9" s="7" t="n">
        <f aca="false">YDEX!$B$43</f>
        <v>12985.469036383</v>
      </c>
      <c r="F9" s="7" t="n">
        <f aca="false">YDEX!$B$45</f>
        <v>9998.81115801489</v>
      </c>
      <c r="G9" s="7" t="n">
        <f aca="false">YDEX!$B$47</f>
        <v>14556.7107897853</v>
      </c>
      <c r="H9" s="7" t="n">
        <f aca="false">YDEX!$B$46</f>
        <v>15322.8534629319</v>
      </c>
      <c r="I9" s="8" t="n">
        <f aca="false">IF(D9&gt;0,E9/D9-1,0)</f>
        <v>2.81925559893617</v>
      </c>
      <c r="J9" s="8" t="n">
        <f aca="false">IF(D9&gt;0,H9/D9-1,0)</f>
        <v>3.50672160674468</v>
      </c>
      <c r="K9" s="4" t="str">
        <f aca="false">IF(D9&lt;=F9,"ЗОНА ПОКУПКИ",IF(D9&gt;=H9,"ЦЕНА ПРОДАЖИ",IF(D9&gt;=G9,"ПРИБЛИЖАЕТСЯ К ПРОДАЖЕ","ДЕРЖАТЬ")))</f>
        <v>ЗОНА ПОКУПКИ</v>
      </c>
      <c r="L9" s="9" t="n">
        <f aca="false">SUMIF(Портфели!$B:$B,A9,Портфели!$D:$D)</f>
        <v>9</v>
      </c>
      <c r="M9" s="10" t="n">
        <f aca="false">L9*D9</f>
        <v>30600</v>
      </c>
      <c r="N9" s="11" t="n">
        <f aca="false">IF(Портфели!$G$18&gt;0,M9/Портфели!$G$18,0)</f>
        <v>0.111012332708315</v>
      </c>
      <c r="O9" s="7" t="n">
        <f aca="false">YDEX!$B$37</f>
        <v>11063.274948478</v>
      </c>
      <c r="P9" s="12" t="n">
        <f aca="false">E9-O9</f>
        <v>1922.19408790498</v>
      </c>
    </row>
    <row r="10" customFormat="false" ht="15" hidden="false" customHeight="false" outlineLevel="0" collapsed="false">
      <c r="A10" s="4" t="s">
        <v>31</v>
      </c>
      <c r="B10" s="5" t="s">
        <v>32</v>
      </c>
      <c r="C10" s="5" t="s">
        <v>33</v>
      </c>
      <c r="D10" s="6" t="n">
        <v>176.45</v>
      </c>
      <c r="E10" s="7" t="n">
        <f aca="false">MTSS!$B$42</f>
        <v>430.375340593001</v>
      </c>
      <c r="F10" s="7" t="n">
        <f aca="false">MTSS!$B$44</f>
        <v>331.389012256611</v>
      </c>
      <c r="G10" s="7" t="n">
        <f aca="false">MTSS!$B$46</f>
        <v>482.450756804754</v>
      </c>
      <c r="H10" s="7" t="n">
        <f aca="false">MTSS!$B$45</f>
        <v>507.842901899741</v>
      </c>
      <c r="I10" s="8" t="n">
        <f aca="false">IF(D10&gt;0,E10/D10-1,0)</f>
        <v>1.43907815581185</v>
      </c>
      <c r="J10" s="8" t="n">
        <f aca="false">IF(D10&gt;0,H10/D10-1,0)</f>
        <v>1.87811222385798</v>
      </c>
      <c r="K10" s="4" t="str">
        <f aca="false">IF(D10&lt;=F10,"ЗОНА ПОКУПКИ",IF(D10&gt;=H10,"ЦЕНА ПРОДАЖИ",IF(D10&gt;=G10,"ПРИБЛИЖАЕТСЯ К ПРОДАЖЕ","ДЕРЖАТЬ")))</f>
        <v>ЗОНА ПОКУПКИ</v>
      </c>
      <c r="L10" s="9" t="n">
        <f aca="false">SUMIF(Портфели!$B:$B,A10,Портфели!$D:$D)</f>
        <v>150</v>
      </c>
      <c r="M10" s="10" t="n">
        <f aca="false">L10*D10</f>
        <v>26467.5</v>
      </c>
      <c r="N10" s="11" t="n">
        <f aca="false">IF(Портфели!$G$18&gt;0,M10/Портфели!$G$18,0)</f>
        <v>0.096020226011677</v>
      </c>
      <c r="O10" s="7" t="n">
        <f aca="false">MTSS!$B$36</f>
        <v>370.740464391882</v>
      </c>
      <c r="P10" s="12" t="n">
        <f aca="false">E10-O10</f>
        <v>59.6348762011191</v>
      </c>
    </row>
    <row r="11" customFormat="false" ht="15" hidden="false" customHeight="false" outlineLevel="0" collapsed="false">
      <c r="A11" s="4" t="s">
        <v>34</v>
      </c>
      <c r="B11" s="5" t="s">
        <v>35</v>
      </c>
      <c r="C11" s="5" t="s">
        <v>36</v>
      </c>
      <c r="D11" s="6" t="n">
        <v>114.75</v>
      </c>
      <c r="E11" s="7" t="n">
        <f aca="false">GAZP!$B$63</f>
        <v>144.70446356759</v>
      </c>
      <c r="F11" s="7" t="n">
        <f aca="false">GAZP!$B$65</f>
        <v>111.422436947045</v>
      </c>
      <c r="G11" s="7" t="n">
        <f aca="false">GAZP!$B$67</f>
        <v>162.213703659269</v>
      </c>
      <c r="H11" s="7" t="n">
        <f aca="false">GAZP!$B$66</f>
        <v>170.751267009757</v>
      </c>
      <c r="I11" s="8" t="n">
        <f aca="false">IF(D11&gt;0,E11/D11-1,0)</f>
        <v>0.261041076841746</v>
      </c>
      <c r="J11" s="8" t="n">
        <f aca="false">IF(D11&gt;0,H11/D11-1,0)</f>
        <v>0.48802847067326</v>
      </c>
      <c r="K11" s="4" t="str">
        <f aca="false">IF(D11&lt;=F11,"ЗОНА ПОКУПКИ",IF(D11&gt;=H11,"ЦЕНА ПРОДАЖИ",IF(D11&gt;=G11,"ПРИБЛИЖАЕТСЯ К ПРОДАЖЕ","ДЕРЖАТЬ")))</f>
        <v>ДЕРЖАТЬ</v>
      </c>
      <c r="L11" s="9" t="n">
        <f aca="false">SUMIF(Портфели!$B:$B,A11,Портфели!$D:$D)</f>
        <v>210</v>
      </c>
      <c r="M11" s="10" t="n">
        <f aca="false">L11*D11</f>
        <v>24097.5</v>
      </c>
      <c r="N11" s="11" t="n">
        <f aca="false">IF(Портфели!$G$18&gt;0,M11/Портфели!$G$18,0)</f>
        <v>0.0874222120077977</v>
      </c>
      <c r="O11" s="7" t="n">
        <f aca="false">GAZP!$B$56</f>
        <v>114.95421883856</v>
      </c>
      <c r="P11" s="12" t="n">
        <f aca="false">E11-O11</f>
        <v>29.7502447290302</v>
      </c>
    </row>
    <row r="12" customFormat="false" ht="15" hidden="false" customHeight="false" outlineLevel="0" collapsed="false">
      <c r="A12" s="4" t="s">
        <v>37</v>
      </c>
      <c r="B12" s="5" t="s">
        <v>38</v>
      </c>
      <c r="C12" s="5" t="s">
        <v>39</v>
      </c>
      <c r="D12" s="6" t="n">
        <v>76.44</v>
      </c>
      <c r="E12" s="7" t="n">
        <f aca="false">NLMK!$B$33</f>
        <v>106.973024847682</v>
      </c>
      <c r="F12" s="7" t="n">
        <f aca="false">NLMK!$B$35</f>
        <v>82.3692291327149</v>
      </c>
      <c r="G12" s="7" t="n">
        <f aca="false">NLMK!$B$37</f>
        <v>119.916760854251</v>
      </c>
      <c r="H12" s="7" t="n">
        <f aca="false">NLMK!$B$36</f>
        <v>126.228169320264</v>
      </c>
      <c r="I12" s="8" t="n">
        <f aca="false">IF(D12&gt;0,E12/D12-1,0)</f>
        <v>0.399437792355856</v>
      </c>
      <c r="J12" s="8" t="n">
        <f aca="false">IF(D12&gt;0,H12/D12-1,0)</f>
        <v>0.65133659497991</v>
      </c>
      <c r="K12" s="4" t="str">
        <f aca="false">IF(D12&lt;=F12,"ЗОНА ПОКУПКИ",IF(D12&gt;=H12,"ЦЕНА ПРОДАЖИ",IF(D12&gt;=G12,"ПРИБЛИЖАЕТСЯ К ПРОДАЖЕ","ДЕРЖАТЬ")))</f>
        <v>ЗОНА ПОКУПКИ</v>
      </c>
      <c r="L12" s="9" t="n">
        <f aca="false">SUMIF(Портфели!$B:$B,A12,Портфели!$D:$D)</f>
        <v>270</v>
      </c>
      <c r="M12" s="10" t="n">
        <f aca="false">L12*D12</f>
        <v>20638.8</v>
      </c>
      <c r="N12" s="11" t="n">
        <f aca="false">IF(Портфели!$G$18&gt;0,M12/Портфели!$G$18,0)</f>
        <v>0.0748745533431491</v>
      </c>
      <c r="O12" s="7" t="n">
        <f aca="false">NLMK!$B$27</f>
        <v>92.1381490095964</v>
      </c>
      <c r="P12" s="12" t="n">
        <f aca="false">E12-O12</f>
        <v>14.8348758380853</v>
      </c>
    </row>
    <row r="13" customFormat="false" ht="15" hidden="false" customHeight="false" outlineLevel="0" collapsed="false">
      <c r="A13" s="4" t="s">
        <v>40</v>
      </c>
      <c r="B13" s="5" t="s">
        <v>41</v>
      </c>
      <c r="C13" s="5" t="s">
        <v>19</v>
      </c>
      <c r="D13" s="6" t="n">
        <v>257.06</v>
      </c>
      <c r="E13" s="7" t="n">
        <f aca="false">BSPB!$B$30</f>
        <v>258.091058496236</v>
      </c>
      <c r="F13" s="7" t="n">
        <f aca="false">BSPB!$B$32</f>
        <v>198.730115042102</v>
      </c>
      <c r="G13" s="7" t="n">
        <f aca="false">BSPB!$B$34</f>
        <v>289.32007657428</v>
      </c>
      <c r="H13" s="7" t="n">
        <f aca="false">BSPB!$B$33</f>
        <v>304.547449025558</v>
      </c>
      <c r="I13" s="8" t="n">
        <f aca="false">IF(D13&gt;0,E13/D13-1,0)</f>
        <v>0.00401096435165216</v>
      </c>
      <c r="J13" s="8" t="n">
        <f aca="false">IF(D13&gt;0,H13/D13-1,0)</f>
        <v>0.184732937934949</v>
      </c>
      <c r="K13" s="4" t="str">
        <f aca="false">IF(D13&lt;=F13,"ЗОНА ПОКУПКИ",IF(D13&gt;=H13,"ЦЕНА ПРОДАЖИ",IF(D13&gt;=G13,"ПРИБЛИЖАЕТСЯ К ПРОДАЖЕ","ДЕРЖАТЬ")))</f>
        <v>ДЕРЖАТЬ</v>
      </c>
      <c r="L13" s="9" t="n">
        <f aca="false">SUMIF(Портфели!$B:$B,A13,Портфели!$D:$D)</f>
        <v>0</v>
      </c>
      <c r="M13" s="10" t="n">
        <f aca="false">L13*D13</f>
        <v>0</v>
      </c>
      <c r="N13" s="11" t="n">
        <f aca="false">IF(Портфели!$G$18&gt;0,M13/Портфели!$G$18,0)</f>
        <v>0</v>
      </c>
      <c r="O13" s="7" t="n">
        <f aca="false">BSPB!$B$24</f>
        <v>240.55423696196</v>
      </c>
      <c r="P13" s="12" t="n">
        <f aca="false">E13-O13</f>
        <v>17.5368215342754</v>
      </c>
    </row>
    <row r="14" customFormat="false" ht="15" hidden="false" customHeight="false" outlineLevel="0" collapsed="false">
      <c r="A14" s="13" t="s">
        <v>42</v>
      </c>
      <c r="M14" s="14" t="n">
        <f aca="false">SUM(M5:M13)</f>
        <v>272766.04</v>
      </c>
      <c r="N14" s="15" t="n">
        <f aca="false">SUM(N5:N13)</f>
        <v>0.989555372026452</v>
      </c>
    </row>
    <row r="15" customFormat="false" ht="15" hidden="false" customHeight="false" outlineLevel="0" collapsed="false">
      <c r="A15" s="16" t="s">
        <v>43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customFormat="false" ht="15" hidden="false" customHeight="false" outlineLevel="0" collapsed="false">
      <c r="A16" s="16" t="s">
        <v>44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customFormat="false" ht="15" hidden="false" customHeight="false" outlineLevel="0" collapsed="false">
      <c r="A17" s="16" t="s">
        <v>45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mergeCells count="3">
    <mergeCell ref="A15:P15"/>
    <mergeCell ref="A16:P16"/>
    <mergeCell ref="A17:P17"/>
  </mergeCells>
  <conditionalFormatting sqref="K5:K13">
    <cfRule type="expression" priority="2" aboveAverage="0" equalAverage="0" bottom="0" percent="0" rank="0" text="" dxfId="0">
      <formula>K5="ЗОНА ПОКУПКИ"</formula>
    </cfRule>
    <cfRule type="expression" priority="3" aboveAverage="0" equalAverage="0" bottom="0" percent="0" rank="0" text="" dxfId="1">
      <formula>K5="ЦЕНА ПРОДАЖИ"</formula>
    </cfRule>
    <cfRule type="expression" priority="4" aboveAverage="0" equalAverage="0" bottom="0" percent="0" rank="0" text="" dxfId="2">
      <formula>K5="ПРИБЛИЖАЕТСЯ К ПРОДАЖЕ"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8" min="5" style="0" width="14"/>
    <col collapsed="false" customWidth="true" hidden="false" outlineLevel="0" max="9" min="9" style="0" width="13"/>
    <col collapsed="false" customWidth="true" hidden="false" outlineLevel="0" max="11" min="10" style="0" width="11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30" hidden="false" customHeight="true" outlineLevel="0" collapsed="false">
      <c r="A4" s="3" t="s">
        <v>48</v>
      </c>
      <c r="B4" s="3" t="s">
        <v>1</v>
      </c>
      <c r="C4" s="3" t="s">
        <v>2</v>
      </c>
      <c r="D4" s="3" t="s">
        <v>49</v>
      </c>
      <c r="E4" s="3" t="s">
        <v>50</v>
      </c>
      <c r="F4" s="3" t="s">
        <v>4</v>
      </c>
      <c r="G4" s="3" t="s">
        <v>13</v>
      </c>
      <c r="H4" s="3" t="s">
        <v>51</v>
      </c>
      <c r="I4" s="3" t="s">
        <v>52</v>
      </c>
      <c r="J4" s="3" t="s">
        <v>53</v>
      </c>
      <c r="K4" s="3" t="s">
        <v>54</v>
      </c>
    </row>
    <row r="5" customFormat="false" ht="15" hidden="false" customHeight="false" outlineLevel="0" collapsed="false">
      <c r="A5" s="5" t="s">
        <v>55</v>
      </c>
      <c r="B5" s="4" t="s">
        <v>17</v>
      </c>
      <c r="C5" s="5" t="s">
        <v>18</v>
      </c>
      <c r="D5" s="17" t="n">
        <v>192</v>
      </c>
      <c r="E5" s="18" t="n">
        <v>286.95</v>
      </c>
      <c r="F5" s="7" t="n">
        <f aca="false">IFERROR(INDEX(Сводка!$D$5:$D$13,MATCH(B5,Сводка!$A$5:$A$13,0)),0)</f>
        <v>292.32</v>
      </c>
      <c r="G5" s="10" t="n">
        <f aca="false">D5*F5</f>
        <v>56125.44</v>
      </c>
      <c r="H5" s="10" t="n">
        <f aca="false">D5*E5</f>
        <v>55094.4</v>
      </c>
      <c r="I5" s="10" t="n">
        <f aca="false">G5-H5</f>
        <v>1031.04000000001</v>
      </c>
      <c r="J5" s="8" t="n">
        <f aca="false">IF(H5&gt;0,I5/H5,0)</f>
        <v>0.0187140616832202</v>
      </c>
      <c r="K5" s="8" t="n">
        <f aca="false">IF($G$18&gt;0,G5/$G$18,0)</f>
        <v>0.20361490257126</v>
      </c>
    </row>
    <row r="6" customFormat="false" ht="15" hidden="false" customHeight="false" outlineLevel="0" collapsed="false">
      <c r="A6" s="5" t="s">
        <v>55</v>
      </c>
      <c r="B6" s="4" t="s">
        <v>23</v>
      </c>
      <c r="C6" s="5" t="s">
        <v>24</v>
      </c>
      <c r="D6" s="17" t="n">
        <v>32</v>
      </c>
      <c r="E6" s="18" t="n">
        <v>982.9</v>
      </c>
      <c r="F6" s="7" t="n">
        <f aca="false">IFERROR(INDEX(Сводка!$D$5:$D$13,MATCH(B6,Сводка!$A$5:$A$13,0)),0)</f>
        <v>1176.8</v>
      </c>
      <c r="G6" s="10" t="n">
        <f aca="false">D6*F6</f>
        <v>37657.6</v>
      </c>
      <c r="H6" s="10" t="n">
        <f aca="false">D6*E6</f>
        <v>31452.8</v>
      </c>
      <c r="I6" s="10" t="n">
        <f aca="false">G6-H6</f>
        <v>6204.8</v>
      </c>
      <c r="J6" s="8" t="n">
        <f aca="false">IF(H6&gt;0,I6/H6,0)</f>
        <v>0.197273374707498</v>
      </c>
      <c r="K6" s="8" t="n">
        <f aca="false">IF($G$18&gt;0,G6/$G$18,0)</f>
        <v>0.136616275169824</v>
      </c>
    </row>
    <row r="7" customFormat="false" ht="15" hidden="false" customHeight="false" outlineLevel="0" collapsed="false">
      <c r="A7" s="5" t="s">
        <v>55</v>
      </c>
      <c r="B7" s="4" t="s">
        <v>26</v>
      </c>
      <c r="C7" s="5" t="s">
        <v>27</v>
      </c>
      <c r="D7" s="17" t="n">
        <v>79</v>
      </c>
      <c r="E7" s="18" t="n">
        <v>387.48</v>
      </c>
      <c r="F7" s="7" t="n">
        <f aca="false">IFERROR(INDEX(Сводка!$D$5:$D$13,MATCH(B7,Сводка!$A$5:$A$13,0)),0)</f>
        <v>407</v>
      </c>
      <c r="G7" s="10" t="n">
        <f aca="false">D7*F7</f>
        <v>32153</v>
      </c>
      <c r="H7" s="10" t="n">
        <f aca="false">D7*E7</f>
        <v>30610.92</v>
      </c>
      <c r="I7" s="10" t="n">
        <f aca="false">G7-H7</f>
        <v>1542.08</v>
      </c>
      <c r="J7" s="8" t="n">
        <f aca="false">IF(H7&gt;0,I7/H7,0)</f>
        <v>0.0503767936409621</v>
      </c>
      <c r="K7" s="8" t="n">
        <f aca="false">IF($G$18&gt;0,G7/$G$18,0)</f>
        <v>0.116646389985962</v>
      </c>
    </row>
    <row r="8" customFormat="false" ht="15" hidden="false" customHeight="false" outlineLevel="0" collapsed="false">
      <c r="A8" s="5" t="s">
        <v>55</v>
      </c>
      <c r="B8" s="4" t="s">
        <v>29</v>
      </c>
      <c r="C8" s="5" t="s">
        <v>30</v>
      </c>
      <c r="D8" s="17" t="n">
        <v>9</v>
      </c>
      <c r="E8" s="18" t="n">
        <v>4193.7</v>
      </c>
      <c r="F8" s="7" t="n">
        <f aca="false">IFERROR(INDEX(Сводка!$D$5:$D$13,MATCH(B8,Сводка!$A$5:$A$13,0)),0)</f>
        <v>3400</v>
      </c>
      <c r="G8" s="10" t="n">
        <f aca="false">D8*F8</f>
        <v>30600</v>
      </c>
      <c r="H8" s="10" t="n">
        <f aca="false">D8*E8</f>
        <v>37743.3</v>
      </c>
      <c r="I8" s="10" t="n">
        <f aca="false">G8-H8</f>
        <v>-7143.3</v>
      </c>
      <c r="J8" s="8" t="n">
        <f aca="false">IF(H8&gt;0,I8/H8,0)</f>
        <v>-0.189260080597086</v>
      </c>
      <c r="K8" s="8" t="n">
        <f aca="false">IF($G$18&gt;0,G8/$G$18,0)</f>
        <v>0.111012332708315</v>
      </c>
    </row>
    <row r="9" customFormat="false" ht="15" hidden="false" customHeight="false" outlineLevel="0" collapsed="false">
      <c r="A9" s="5" t="s">
        <v>55</v>
      </c>
      <c r="B9" s="4" t="s">
        <v>31</v>
      </c>
      <c r="C9" s="5" t="s">
        <v>32</v>
      </c>
      <c r="D9" s="17" t="n">
        <v>150</v>
      </c>
      <c r="E9" s="18" t="n">
        <v>195.35</v>
      </c>
      <c r="F9" s="7" t="n">
        <f aca="false">IFERROR(INDEX(Сводка!$D$5:$D$13,MATCH(B9,Сводка!$A$5:$A$13,0)),0)</f>
        <v>176.45</v>
      </c>
      <c r="G9" s="10" t="n">
        <f aca="false">D9*F9</f>
        <v>26467.5</v>
      </c>
      <c r="H9" s="10" t="n">
        <f aca="false">D9*E9</f>
        <v>29302.5</v>
      </c>
      <c r="I9" s="10" t="n">
        <f aca="false">G9-H9</f>
        <v>-2835</v>
      </c>
      <c r="J9" s="8" t="n">
        <f aca="false">IF(H9&gt;0,I9/H9,0)</f>
        <v>-0.0967494241105708</v>
      </c>
      <c r="K9" s="8" t="n">
        <f aca="false">IF($G$18&gt;0,G9/$G$18,0)</f>
        <v>0.096020226011677</v>
      </c>
    </row>
    <row r="10" customFormat="false" ht="15" hidden="false" customHeight="false" outlineLevel="0" collapsed="false">
      <c r="A10" s="5" t="s">
        <v>56</v>
      </c>
      <c r="B10" s="4" t="s">
        <v>20</v>
      </c>
      <c r="C10" s="5" t="s">
        <v>21</v>
      </c>
      <c r="D10" s="17" t="n">
        <v>41</v>
      </c>
      <c r="E10" s="18" t="n">
        <v>1135</v>
      </c>
      <c r="F10" s="7" t="n">
        <f aca="false">IFERROR(INDEX(Сводка!$D$5:$D$13,MATCH(B10,Сводка!$A$5:$A$13,0)),0)</f>
        <v>1098.2</v>
      </c>
      <c r="G10" s="10" t="n">
        <f aca="false">D10*F10</f>
        <v>45026.2</v>
      </c>
      <c r="H10" s="10" t="n">
        <f aca="false">D10*E10</f>
        <v>46535</v>
      </c>
      <c r="I10" s="10" t="n">
        <f aca="false">G10-H10</f>
        <v>-1508.8</v>
      </c>
      <c r="J10" s="8" t="n">
        <f aca="false">IF(H10&gt;0,I10/H10,0)</f>
        <v>-0.0324229074889867</v>
      </c>
      <c r="K10" s="8" t="n">
        <f aca="false">IF($G$18&gt;0,G10/$G$18,0)</f>
        <v>0.163348480228468</v>
      </c>
    </row>
    <row r="11" customFormat="false" ht="15" hidden="false" customHeight="false" outlineLevel="0" collapsed="false">
      <c r="A11" s="5" t="s">
        <v>56</v>
      </c>
      <c r="B11" s="4" t="s">
        <v>34</v>
      </c>
      <c r="C11" s="5" t="s">
        <v>35</v>
      </c>
      <c r="D11" s="17" t="n">
        <v>210</v>
      </c>
      <c r="E11" s="18" t="n">
        <v>100.05</v>
      </c>
      <c r="F11" s="7" t="n">
        <f aca="false">IFERROR(INDEX(Сводка!$D$5:$D$13,MATCH(B11,Сводка!$A$5:$A$13,0)),0)</f>
        <v>114.75</v>
      </c>
      <c r="G11" s="10" t="n">
        <f aca="false">D11*F11</f>
        <v>24097.5</v>
      </c>
      <c r="H11" s="10" t="n">
        <f aca="false">D11*E11</f>
        <v>21010.5</v>
      </c>
      <c r="I11" s="10" t="n">
        <f aca="false">G11-H11</f>
        <v>3087</v>
      </c>
      <c r="J11" s="8" t="n">
        <f aca="false">IF(H11&gt;0,I11/H11,0)</f>
        <v>0.146926536731634</v>
      </c>
      <c r="K11" s="8" t="n">
        <f aca="false">IF($G$18&gt;0,G11/$G$18,0)</f>
        <v>0.0874222120077977</v>
      </c>
    </row>
    <row r="12" customFormat="false" ht="15" hidden="false" customHeight="false" outlineLevel="0" collapsed="false">
      <c r="A12" s="5" t="s">
        <v>56</v>
      </c>
      <c r="B12" s="4" t="s">
        <v>37</v>
      </c>
      <c r="C12" s="5" t="s">
        <v>38</v>
      </c>
      <c r="D12" s="17" t="n">
        <v>270</v>
      </c>
      <c r="E12" s="18" t="n">
        <v>71.71</v>
      </c>
      <c r="F12" s="7" t="n">
        <f aca="false">IFERROR(INDEX(Сводка!$D$5:$D$13,MATCH(B12,Сводка!$A$5:$A$13,0)),0)</f>
        <v>76.44</v>
      </c>
      <c r="G12" s="10" t="n">
        <f aca="false">D12*F12</f>
        <v>20638.8</v>
      </c>
      <c r="H12" s="10" t="n">
        <f aca="false">D12*E12</f>
        <v>19361.7</v>
      </c>
      <c r="I12" s="10" t="n">
        <f aca="false">G12-H12</f>
        <v>1277.1</v>
      </c>
      <c r="J12" s="8" t="n">
        <f aca="false">IF(H12&gt;0,I12/H12,0)</f>
        <v>0.0659601171384745</v>
      </c>
      <c r="K12" s="8" t="n">
        <f aca="false">IF($G$18&gt;0,G12/$G$18,0)</f>
        <v>0.0748745533431491</v>
      </c>
    </row>
    <row r="13" customFormat="false" ht="15" hidden="false" customHeight="false" outlineLevel="0" collapsed="false">
      <c r="A13" s="19" t="s">
        <v>55</v>
      </c>
      <c r="B13" s="20" t="s">
        <v>57</v>
      </c>
      <c r="C13" s="19" t="s">
        <v>58</v>
      </c>
      <c r="D13" s="21"/>
      <c r="E13" s="21"/>
      <c r="F13" s="21"/>
      <c r="G13" s="17" t="n">
        <v>1015</v>
      </c>
      <c r="H13" s="10" t="n">
        <f aca="false">G13</f>
        <v>1015</v>
      </c>
      <c r="I13" s="10" t="n">
        <f aca="false">G13-H13</f>
        <v>0</v>
      </c>
      <c r="J13" s="21"/>
      <c r="K13" s="8" t="n">
        <f aca="false">IF($G$18&gt;0,G13/$G$18,0)</f>
        <v>0.00368227182022677</v>
      </c>
    </row>
    <row r="14" customFormat="false" ht="15" hidden="false" customHeight="false" outlineLevel="0" collapsed="false">
      <c r="A14" s="19" t="s">
        <v>56</v>
      </c>
      <c r="B14" s="20" t="s">
        <v>57</v>
      </c>
      <c r="C14" s="19" t="s">
        <v>58</v>
      </c>
      <c r="D14" s="21"/>
      <c r="E14" s="21"/>
      <c r="F14" s="21"/>
      <c r="G14" s="17" t="n">
        <v>1864.01</v>
      </c>
      <c r="H14" s="10" t="n">
        <f aca="false">G14</f>
        <v>1864.01</v>
      </c>
      <c r="I14" s="10" t="n">
        <f aca="false">G14-H14</f>
        <v>0</v>
      </c>
      <c r="J14" s="21"/>
      <c r="K14" s="8" t="n">
        <f aca="false">IF($G$18&gt;0,G14/$G$18,0)</f>
        <v>0.00676235615332109</v>
      </c>
    </row>
    <row r="16" customFormat="false" ht="15" hidden="false" customHeight="false" outlineLevel="0" collapsed="false">
      <c r="A16" s="13" t="s">
        <v>55</v>
      </c>
      <c r="G16" s="22" t="n">
        <f aca="false">SUMIF($A$5:$A$14,"ИИС",G$5:G$14)</f>
        <v>184018.54</v>
      </c>
      <c r="H16" s="22" t="n">
        <f aca="false">SUMIF($A$5:$A$14,"ИИС",H$5:H$14)</f>
        <v>185218.92</v>
      </c>
      <c r="I16" s="22" t="n">
        <f aca="false">SUMIF($A$5:$A$14,"ИИС",I$5:I$14)</f>
        <v>-1200.37999999999</v>
      </c>
      <c r="J16" s="23" t="n">
        <f aca="false">IF(H16&gt;0,I16/H16,0)</f>
        <v>-0.0064808713926201</v>
      </c>
      <c r="K16" s="23" t="n">
        <f aca="false">IF($G$18&gt;0,G16/$G$18,0)</f>
        <v>0.667592398267265</v>
      </c>
    </row>
    <row r="17" customFormat="false" ht="15" hidden="false" customHeight="false" outlineLevel="0" collapsed="false">
      <c r="A17" s="13" t="s">
        <v>56</v>
      </c>
      <c r="G17" s="22" t="n">
        <f aca="false">SUMIF($A$5:$A$14,"Счёт 2",G$5:G$14)</f>
        <v>91626.51</v>
      </c>
      <c r="H17" s="22" t="n">
        <f aca="false">SUMIF($A$5:$A$14,"Счёт 2",H$5:H$14)</f>
        <v>88771.21</v>
      </c>
      <c r="I17" s="22" t="n">
        <f aca="false">SUMIF($A$5:$A$14,"Счёт 2",I$5:I$14)</f>
        <v>2855.30000000001</v>
      </c>
      <c r="J17" s="23" t="n">
        <f aca="false">IF(H17&gt;0,I17/H17,0)</f>
        <v>0.0321647074541398</v>
      </c>
      <c r="K17" s="23" t="n">
        <f aca="false">IF($G$18&gt;0,G17/$G$18,0)</f>
        <v>0.332407601732736</v>
      </c>
    </row>
    <row r="18" customFormat="false" ht="15" hidden="false" customHeight="false" outlineLevel="0" collapsed="false">
      <c r="A18" s="13" t="s">
        <v>59</v>
      </c>
      <c r="G18" s="22" t="n">
        <f aca="false">SUM(G5:G14)</f>
        <v>275645.05</v>
      </c>
      <c r="H18" s="22" t="n">
        <f aca="false">SUM(H5:H14)</f>
        <v>273990.13</v>
      </c>
      <c r="I18" s="22" t="n">
        <f aca="false">SUM(I5:I14)</f>
        <v>1654.92000000002</v>
      </c>
      <c r="J18" s="23" t="n">
        <f aca="false">IF(H18&gt;0,I18/H18,0)</f>
        <v>0.00604007158944016</v>
      </c>
      <c r="K18" s="23" t="n">
        <f aca="false">IF($G$18&gt;0,G18/$G$18,0)</f>
        <v>1</v>
      </c>
    </row>
    <row r="20" customFormat="false" ht="15" hidden="false" customHeight="false" outlineLevel="0" collapsed="false">
      <c r="A20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24" t="s">
        <v>63</v>
      </c>
      <c r="B4" s="24" t="s">
        <v>64</v>
      </c>
      <c r="C4" s="24" t="s">
        <v>65</v>
      </c>
      <c r="D4" s="24" t="s">
        <v>66</v>
      </c>
    </row>
    <row r="5" customFormat="false" ht="15" hidden="false" customHeight="false" outlineLevel="0" collapsed="false">
      <c r="A5" s="25" t="s">
        <v>67</v>
      </c>
      <c r="B5" s="26" t="n">
        <v>46319</v>
      </c>
      <c r="C5" s="25"/>
      <c r="D5" s="27" t="s">
        <v>68</v>
      </c>
    </row>
    <row r="6" customFormat="false" ht="22.35" hidden="false" customHeight="false" outlineLevel="0" collapsed="false">
      <c r="A6" s="25" t="s">
        <v>69</v>
      </c>
      <c r="B6" s="28" t="n">
        <v>0.13</v>
      </c>
      <c r="C6" s="25" t="s">
        <v>70</v>
      </c>
      <c r="D6" s="27" t="s">
        <v>71</v>
      </c>
    </row>
    <row r="7" customFormat="false" ht="22.35" hidden="false" customHeight="false" outlineLevel="0" collapsed="false">
      <c r="A7" s="25" t="s">
        <v>72</v>
      </c>
      <c r="B7" s="28" t="n">
        <v>0.06</v>
      </c>
      <c r="C7" s="25" t="s">
        <v>70</v>
      </c>
      <c r="D7" s="27" t="s">
        <v>73</v>
      </c>
    </row>
    <row r="8" customFormat="false" ht="32.8" hidden="false" customHeight="false" outlineLevel="0" collapsed="false">
      <c r="A8" s="25" t="s">
        <v>74</v>
      </c>
      <c r="B8" s="29" t="n">
        <v>0.166</v>
      </c>
      <c r="C8" s="25" t="s">
        <v>70</v>
      </c>
      <c r="D8" s="27" t="s">
        <v>75</v>
      </c>
    </row>
    <row r="9" customFormat="false" ht="15" hidden="false" customHeight="false" outlineLevel="0" collapsed="false">
      <c r="A9" s="25" t="s">
        <v>76</v>
      </c>
      <c r="B9" s="30" t="n">
        <f aca="false">$B$6+$B$7</f>
        <v>0.19</v>
      </c>
      <c r="C9" s="25" t="s">
        <v>70</v>
      </c>
      <c r="D9" s="27" t="s">
        <v>77</v>
      </c>
    </row>
    <row r="10" customFormat="false" ht="22.35" hidden="false" customHeight="false" outlineLevel="0" collapsed="false">
      <c r="A10" s="25" t="s">
        <v>78</v>
      </c>
      <c r="B10" s="28" t="n">
        <v>0.23</v>
      </c>
      <c r="C10" s="25" t="s">
        <v>70</v>
      </c>
      <c r="D10" s="27" t="s">
        <v>79</v>
      </c>
    </row>
    <row r="11" customFormat="false" ht="15" hidden="false" customHeight="false" outlineLevel="0" collapsed="false">
      <c r="A11" s="25" t="s">
        <v>80</v>
      </c>
      <c r="B11" s="28" t="n">
        <v>0.18</v>
      </c>
      <c r="C11" s="25" t="s">
        <v>70</v>
      </c>
      <c r="D11" s="27" t="s">
        <v>81</v>
      </c>
    </row>
    <row r="12" customFormat="false" ht="15" hidden="false" customHeight="false" outlineLevel="0" collapsed="false">
      <c r="A12" s="25" t="s">
        <v>82</v>
      </c>
      <c r="B12" s="29" t="n">
        <v>0.05</v>
      </c>
      <c r="C12" s="25" t="s">
        <v>70</v>
      </c>
      <c r="D12" s="27" t="s">
        <v>83</v>
      </c>
    </row>
    <row r="13" customFormat="false" ht="22.35" hidden="false" customHeight="false" outlineLevel="0" collapsed="false">
      <c r="A13" s="25" t="s">
        <v>84</v>
      </c>
      <c r="B13" s="31" t="n">
        <v>85</v>
      </c>
      <c r="C13" s="25" t="s">
        <v>85</v>
      </c>
      <c r="D13" s="27" t="s">
        <v>86</v>
      </c>
    </row>
    <row r="14" customFormat="false" ht="22.35" hidden="false" customHeight="false" outlineLevel="0" collapsed="false">
      <c r="A14" s="25" t="s">
        <v>87</v>
      </c>
      <c r="B14" s="32" t="n">
        <v>3800</v>
      </c>
      <c r="C14" s="25" t="s">
        <v>88</v>
      </c>
      <c r="D14" s="27" t="s">
        <v>89</v>
      </c>
    </row>
    <row r="15" customFormat="false" ht="22.35" hidden="false" customHeight="false" outlineLevel="0" collapsed="false">
      <c r="A15" s="25" t="s">
        <v>90</v>
      </c>
      <c r="B15" s="28" t="n">
        <v>0.5</v>
      </c>
      <c r="C15" s="25" t="s">
        <v>70</v>
      </c>
      <c r="D15" s="27" t="s">
        <v>91</v>
      </c>
    </row>
    <row r="16" customFormat="false" ht="22.35" hidden="false" customHeight="false" outlineLevel="0" collapsed="false">
      <c r="A16" s="25" t="s">
        <v>92</v>
      </c>
      <c r="B16" s="33" t="n">
        <v>5</v>
      </c>
      <c r="C16" s="25" t="s">
        <v>93</v>
      </c>
      <c r="D16" s="27" t="s">
        <v>94</v>
      </c>
    </row>
    <row r="17" customFormat="false" ht="43.25" hidden="false" customHeight="false" outlineLevel="0" collapsed="false">
      <c r="A17" s="25" t="s">
        <v>95</v>
      </c>
      <c r="B17" s="34" t="n">
        <v>778</v>
      </c>
      <c r="C17" s="25" t="s">
        <v>96</v>
      </c>
      <c r="D17" s="27" t="s">
        <v>97</v>
      </c>
    </row>
    <row r="18" customFormat="false" ht="15" hidden="false" customHeight="false" outlineLevel="0" collapsed="false">
      <c r="A18" s="25" t="s">
        <v>98</v>
      </c>
      <c r="B18" s="35" t="n">
        <v>4</v>
      </c>
      <c r="C18" s="25" t="s">
        <v>93</v>
      </c>
      <c r="D18" s="27" t="s">
        <v>99</v>
      </c>
    </row>
    <row r="19" customFormat="false" ht="32.8" hidden="false" customHeight="false" outlineLevel="0" collapsed="false">
      <c r="A19" s="25" t="s">
        <v>100</v>
      </c>
      <c r="B19" s="36" t="n">
        <v>28</v>
      </c>
      <c r="C19" s="25" t="s">
        <v>101</v>
      </c>
      <c r="D19" s="27" t="s">
        <v>102</v>
      </c>
    </row>
    <row r="20" customFormat="false" ht="15" hidden="false" customHeight="false" outlineLevel="0" collapsed="false">
      <c r="A20" s="25" t="s">
        <v>103</v>
      </c>
      <c r="B20" s="36" t="n">
        <v>14.8</v>
      </c>
      <c r="C20" s="25" t="s">
        <v>101</v>
      </c>
      <c r="D20" s="27" t="s">
        <v>104</v>
      </c>
    </row>
    <row r="21" customFormat="false" ht="22.35" hidden="false" customHeight="false" outlineLevel="0" collapsed="false">
      <c r="A21" s="25" t="s">
        <v>105</v>
      </c>
      <c r="B21" s="36" t="n">
        <v>8.1</v>
      </c>
      <c r="C21" s="25" t="s">
        <v>101</v>
      </c>
      <c r="D21" s="27" t="s">
        <v>106</v>
      </c>
    </row>
    <row r="22" customFormat="false" ht="22.35" hidden="false" customHeight="false" outlineLevel="0" collapsed="false">
      <c r="A22" s="25" t="s">
        <v>107</v>
      </c>
      <c r="B22" s="37" t="n">
        <f aca="false">AVERAGE($B$19,$B$20,$B$21)</f>
        <v>16.9666666666667</v>
      </c>
      <c r="C22" s="25" t="s">
        <v>101</v>
      </c>
      <c r="D22" s="27" t="s">
        <v>108</v>
      </c>
    </row>
    <row r="23" customFormat="false" ht="32.8" hidden="false" customHeight="false" outlineLevel="0" collapsed="false">
      <c r="A23" s="25" t="s">
        <v>109</v>
      </c>
      <c r="B23" s="38" t="n">
        <v>1</v>
      </c>
      <c r="C23" s="25" t="s">
        <v>101</v>
      </c>
      <c r="D23" s="27" t="s">
        <v>110</v>
      </c>
    </row>
    <row r="24" customFormat="false" ht="22.35" hidden="false" customHeight="false" outlineLevel="0" collapsed="false">
      <c r="A24" s="25" t="s">
        <v>111</v>
      </c>
      <c r="B24" s="36" t="n">
        <v>0.2</v>
      </c>
      <c r="C24" s="25" t="s">
        <v>101</v>
      </c>
      <c r="D24" s="27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80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13" t="s">
        <v>114</v>
      </c>
    </row>
    <row r="3" customFormat="false" ht="42" hidden="false" customHeight="true" outlineLevel="0" collapsed="false">
      <c r="A3" s="39" t="s">
        <v>115</v>
      </c>
      <c r="B3" s="39"/>
      <c r="C3" s="39"/>
      <c r="D3" s="39"/>
    </row>
    <row r="4" customFormat="false" ht="15" hidden="false" customHeight="false" outlineLevel="0" collapsed="false">
      <c r="A4" s="2" t="s">
        <v>116</v>
      </c>
    </row>
    <row r="6" customFormat="false" ht="15" hidden="false" customHeight="false" outlineLevel="0" collapsed="false">
      <c r="A6" s="24" t="s">
        <v>117</v>
      </c>
      <c r="B6" s="24" t="s">
        <v>64</v>
      </c>
      <c r="C6" s="24" t="s">
        <v>65</v>
      </c>
      <c r="D6" s="24" t="s">
        <v>66</v>
      </c>
    </row>
    <row r="7" customFormat="false" ht="15" hidden="false" customHeight="false" outlineLevel="0" collapsed="false">
      <c r="A7" s="40" t="s">
        <v>118</v>
      </c>
      <c r="B7" s="41"/>
      <c r="C7" s="41"/>
      <c r="D7" s="41"/>
    </row>
    <row r="8" customFormat="false" ht="22.35" hidden="false" customHeight="false" outlineLevel="0" collapsed="false">
      <c r="A8" s="25" t="s">
        <v>119</v>
      </c>
      <c r="B8" s="42" t="n">
        <v>1950</v>
      </c>
      <c r="C8" s="25" t="s">
        <v>96</v>
      </c>
      <c r="D8" s="27" t="s">
        <v>120</v>
      </c>
    </row>
    <row r="9" customFormat="false" ht="15" hidden="false" customHeight="false" outlineLevel="0" collapsed="false">
      <c r="A9" s="25" t="s">
        <v>121</v>
      </c>
      <c r="B9" s="43" t="n">
        <v>0.5</v>
      </c>
      <c r="C9" s="25" t="s">
        <v>70</v>
      </c>
      <c r="D9" s="27" t="s">
        <v>122</v>
      </c>
    </row>
    <row r="10" customFormat="false" ht="22.35" hidden="false" customHeight="false" outlineLevel="0" collapsed="false">
      <c r="A10" s="25" t="s">
        <v>123</v>
      </c>
      <c r="B10" s="44" t="n">
        <v>22.587</v>
      </c>
      <c r="C10" s="25" t="s">
        <v>124</v>
      </c>
      <c r="D10" s="27" t="s">
        <v>125</v>
      </c>
    </row>
    <row r="11" customFormat="false" ht="15" hidden="false" customHeight="false" outlineLevel="0" collapsed="false">
      <c r="A11" s="25" t="s">
        <v>126</v>
      </c>
      <c r="B11" s="11" t="n">
        <f aca="false">Параметры!$B$9</f>
        <v>0.19</v>
      </c>
      <c r="C11" s="25" t="s">
        <v>70</v>
      </c>
      <c r="D11" s="27" t="s">
        <v>127</v>
      </c>
    </row>
    <row r="12" customFormat="false" ht="15" hidden="false" customHeight="false" outlineLevel="0" collapsed="false">
      <c r="A12" s="25" t="s">
        <v>128</v>
      </c>
      <c r="B12" s="43" t="n">
        <v>0</v>
      </c>
      <c r="C12" s="25" t="s">
        <v>70</v>
      </c>
      <c r="D12" s="27" t="s">
        <v>129</v>
      </c>
    </row>
    <row r="13" customFormat="false" ht="15" hidden="false" customHeight="false" outlineLevel="0" collapsed="false">
      <c r="A13" s="25" t="s">
        <v>130</v>
      </c>
      <c r="B13" s="45" t="n">
        <v>0.08</v>
      </c>
      <c r="C13" s="25" t="s">
        <v>70</v>
      </c>
      <c r="D13" s="27" t="s">
        <v>131</v>
      </c>
    </row>
    <row r="14" customFormat="false" ht="15" hidden="false" customHeight="false" outlineLevel="0" collapsed="false">
      <c r="A14" s="25" t="s">
        <v>95</v>
      </c>
      <c r="B14" s="46" t="n">
        <f aca="false">Параметры!$B$17</f>
        <v>778</v>
      </c>
      <c r="C14" s="25" t="s">
        <v>96</v>
      </c>
      <c r="D14" s="27" t="s">
        <v>132</v>
      </c>
    </row>
    <row r="15" customFormat="false" ht="22.35" hidden="false" customHeight="false" outlineLevel="0" collapsed="false">
      <c r="A15" s="25" t="s">
        <v>133</v>
      </c>
      <c r="B15" s="45" t="n">
        <v>0.4</v>
      </c>
      <c r="C15" s="25" t="s">
        <v>70</v>
      </c>
      <c r="D15" s="27" t="s">
        <v>134</v>
      </c>
    </row>
    <row r="16" customFormat="false" ht="15" hidden="false" customHeight="false" outlineLevel="0" collapsed="false">
      <c r="A16" s="25" t="s">
        <v>135</v>
      </c>
      <c r="B16" s="47" t="n">
        <f aca="false">Параметры!$B$22</f>
        <v>16.9666666666667</v>
      </c>
      <c r="C16" s="25" t="s">
        <v>101</v>
      </c>
      <c r="D16" s="27" t="s">
        <v>136</v>
      </c>
    </row>
    <row r="17" customFormat="false" ht="15" hidden="false" customHeight="false" outlineLevel="0" collapsed="false">
      <c r="A17" s="25" t="s">
        <v>109</v>
      </c>
      <c r="B17" s="47" t="n">
        <f aca="false">Параметры!$B$23</f>
        <v>1</v>
      </c>
      <c r="C17" s="25" t="s">
        <v>101</v>
      </c>
      <c r="D17" s="27" t="s">
        <v>137</v>
      </c>
    </row>
    <row r="18" customFormat="false" ht="15" hidden="false" customHeight="false" outlineLevel="0" collapsed="false">
      <c r="A18" s="25" t="s">
        <v>98</v>
      </c>
      <c r="B18" s="48" t="n">
        <f aca="false">Параметры!$B$18</f>
        <v>4</v>
      </c>
      <c r="C18" s="25" t="s">
        <v>93</v>
      </c>
      <c r="D18" s="27" t="s">
        <v>132</v>
      </c>
    </row>
    <row r="19" customFormat="false" ht="15" hidden="false" customHeight="false" outlineLevel="0" collapsed="false">
      <c r="A19" s="25" t="s">
        <v>138</v>
      </c>
      <c r="B19" s="11" t="n">
        <f aca="false">Параметры!$B$15</f>
        <v>0.5</v>
      </c>
      <c r="C19" s="25" t="s">
        <v>70</v>
      </c>
      <c r="D19" s="27" t="s">
        <v>132</v>
      </c>
    </row>
    <row r="20" customFormat="false" ht="15" hidden="false" customHeight="false" outlineLevel="0" collapsed="false">
      <c r="A20" s="25" t="s">
        <v>92</v>
      </c>
      <c r="B20" s="48" t="n">
        <f aca="false">Параметры!$B$16</f>
        <v>5</v>
      </c>
      <c r="C20" s="25" t="s">
        <v>93</v>
      </c>
      <c r="D20" s="27" t="s">
        <v>132</v>
      </c>
    </row>
    <row r="21" customFormat="false" ht="15" hidden="false" customHeight="false" outlineLevel="0" collapsed="false">
      <c r="A21" s="25" t="s">
        <v>139</v>
      </c>
      <c r="B21" s="49" t="n">
        <v>6</v>
      </c>
      <c r="C21" s="25" t="s">
        <v>101</v>
      </c>
      <c r="D21" s="27" t="s">
        <v>140</v>
      </c>
    </row>
    <row r="22" customFormat="false" ht="15" hidden="false" customHeight="false" outlineLevel="0" collapsed="false">
      <c r="A22" s="25" t="s">
        <v>141</v>
      </c>
      <c r="B22" s="43" t="n">
        <v>0.08</v>
      </c>
      <c r="C22" s="25" t="s">
        <v>70</v>
      </c>
      <c r="D22" s="27" t="s">
        <v>142</v>
      </c>
    </row>
    <row r="24" customFormat="false" ht="15" hidden="false" customHeight="false" outlineLevel="0" collapsed="false">
      <c r="A24" s="40" t="s">
        <v>143</v>
      </c>
      <c r="B24" s="41"/>
      <c r="C24" s="41"/>
      <c r="D24" s="41"/>
    </row>
    <row r="25" customFormat="false" ht="15" hidden="false" customHeight="false" outlineLevel="0" collapsed="false">
      <c r="A25" s="25" t="s">
        <v>144</v>
      </c>
      <c r="B25" s="12" t="n">
        <f aca="false">$B$8*$B$9/$B$10</f>
        <v>43.1664231637668</v>
      </c>
      <c r="C25" s="25" t="s">
        <v>145</v>
      </c>
      <c r="D25" s="27"/>
    </row>
    <row r="26" customFormat="false" ht="15" hidden="false" customHeight="false" outlineLevel="0" collapsed="false">
      <c r="A26" s="25" t="s">
        <v>146</v>
      </c>
      <c r="B26" s="8" t="n">
        <f aca="false">$B$11+$B$12</f>
        <v>0.19</v>
      </c>
      <c r="C26" s="25" t="s">
        <v>70</v>
      </c>
      <c r="D26" s="27"/>
    </row>
    <row r="27" customFormat="false" ht="15" hidden="false" customHeight="false" outlineLevel="0" collapsed="false">
      <c r="A27" s="25" t="s">
        <v>147</v>
      </c>
      <c r="B27" s="8" t="n">
        <f aca="false">$B$26-$B$13</f>
        <v>0.11</v>
      </c>
      <c r="C27" s="25" t="s">
        <v>70</v>
      </c>
      <c r="D27" s="27"/>
    </row>
    <row r="28" customFormat="false" ht="15" hidden="false" customHeight="false" outlineLevel="0" collapsed="false">
      <c r="A28" s="25" t="s">
        <v>148</v>
      </c>
      <c r="B28" s="12" t="n">
        <f aca="false">IF($B$27&gt;0,$B$25/$B$27,0)</f>
        <v>392.422028761516</v>
      </c>
      <c r="C28" s="25" t="s">
        <v>85</v>
      </c>
      <c r="D28" s="27" t="s">
        <v>149</v>
      </c>
    </row>
    <row r="29" customFormat="false" ht="15" hidden="false" customHeight="false" outlineLevel="0" collapsed="false">
      <c r="A29" s="25" t="s">
        <v>150</v>
      </c>
      <c r="B29" s="50" t="n">
        <f aca="false">$B$14*$B$15</f>
        <v>311.2</v>
      </c>
      <c r="C29" s="25" t="s">
        <v>96</v>
      </c>
      <c r="D29" s="27"/>
    </row>
    <row r="30" customFormat="false" ht="15" hidden="false" customHeight="false" outlineLevel="0" collapsed="false">
      <c r="A30" s="25" t="s">
        <v>151</v>
      </c>
      <c r="B30" s="50" t="n">
        <f aca="false">$B$29*$B$16*$B$17</f>
        <v>5280.02666666667</v>
      </c>
      <c r="C30" s="25" t="s">
        <v>96</v>
      </c>
      <c r="D30" s="27" t="s">
        <v>152</v>
      </c>
    </row>
    <row r="31" customFormat="false" ht="15" hidden="false" customHeight="false" outlineLevel="0" collapsed="false">
      <c r="A31" s="25" t="s">
        <v>153</v>
      </c>
      <c r="B31" s="50" t="n">
        <f aca="false">$B$30/(1+$B$11)^$B$18</f>
        <v>2632.98430526707</v>
      </c>
      <c r="C31" s="25" t="s">
        <v>96</v>
      </c>
      <c r="D31" s="27"/>
    </row>
    <row r="32" customFormat="false" ht="15" hidden="false" customHeight="false" outlineLevel="0" collapsed="false">
      <c r="A32" s="25" t="s">
        <v>154</v>
      </c>
      <c r="B32" s="12" t="n">
        <f aca="false">IF($B$10&gt;0,$B$31/$B$10,0)</f>
        <v>116.570784312528</v>
      </c>
      <c r="C32" s="25" t="s">
        <v>85</v>
      </c>
      <c r="D32" s="27"/>
    </row>
    <row r="33" customFormat="false" ht="15" hidden="false" customHeight="false" outlineLevel="0" collapsed="false">
      <c r="A33" s="25" t="s">
        <v>155</v>
      </c>
      <c r="B33" s="12" t="n">
        <f aca="false">$B$28+$B$32</f>
        <v>508.992813074044</v>
      </c>
      <c r="C33" s="25" t="s">
        <v>85</v>
      </c>
      <c r="D33" s="27"/>
    </row>
    <row r="34" customFormat="false" ht="15" hidden="false" customHeight="false" outlineLevel="0" collapsed="false">
      <c r="A34" s="25" t="s">
        <v>156</v>
      </c>
      <c r="B34" s="12" t="n">
        <f aca="false">$B$21*$B$8/$B$10</f>
        <v>517.997077965201</v>
      </c>
      <c r="C34" s="25" t="s">
        <v>85</v>
      </c>
      <c r="D34" s="27" t="s">
        <v>157</v>
      </c>
    </row>
    <row r="35" customFormat="false" ht="15" hidden="false" customHeight="false" outlineLevel="0" collapsed="false">
      <c r="A35" s="25" t="s">
        <v>158</v>
      </c>
      <c r="B35" s="12" t="n">
        <f aca="false">$B$19*($B$34-$B$28)*((1+$B$22)/(1+$B$11))^$B$20</f>
        <v>38.6595978293193</v>
      </c>
      <c r="C35" s="25" t="s">
        <v>85</v>
      </c>
      <c r="D35" s="27" t="s">
        <v>159</v>
      </c>
    </row>
    <row r="36" customFormat="false" ht="15" hidden="false" customHeight="false" outlineLevel="0" collapsed="false">
      <c r="A36" s="25" t="s">
        <v>160</v>
      </c>
      <c r="B36" s="12" t="n">
        <f aca="false">$B$33+$B$35</f>
        <v>547.652410903363</v>
      </c>
      <c r="C36" s="25" t="s">
        <v>85</v>
      </c>
      <c r="D36" s="27"/>
    </row>
    <row r="38" customFormat="false" ht="15" hidden="false" customHeight="false" outlineLevel="0" collapsed="false">
      <c r="A38" s="40" t="s">
        <v>161</v>
      </c>
      <c r="B38" s="41"/>
      <c r="C38" s="41"/>
      <c r="D38" s="41"/>
    </row>
    <row r="39" customFormat="false" ht="15" hidden="false" customHeight="false" outlineLevel="0" collapsed="false">
      <c r="A39" s="13" t="s">
        <v>162</v>
      </c>
      <c r="B39" s="51" t="n">
        <f aca="false">$B$36</f>
        <v>547.652410903363</v>
      </c>
      <c r="C39" s="25" t="s">
        <v>85</v>
      </c>
      <c r="D39" s="2" t="s">
        <v>163</v>
      </c>
    </row>
    <row r="40" customFormat="false" ht="15" hidden="false" customHeight="false" outlineLevel="0" collapsed="false">
      <c r="A40" s="25" t="s">
        <v>164</v>
      </c>
      <c r="B40" s="7" t="n">
        <f aca="false">Сводка!$D$5</f>
        <v>292.32</v>
      </c>
      <c r="C40" s="25" t="s">
        <v>85</v>
      </c>
      <c r="D40" s="2" t="s">
        <v>165</v>
      </c>
    </row>
    <row r="41" customFormat="false" ht="15" hidden="false" customHeight="false" outlineLevel="0" collapsed="false">
      <c r="A41" s="25" t="s">
        <v>166</v>
      </c>
      <c r="B41" s="52" t="n">
        <f aca="false">$B$39*(1-Параметры!$B$10)</f>
        <v>421.69235639559</v>
      </c>
      <c r="C41" s="25" t="s">
        <v>85</v>
      </c>
      <c r="D41" s="2" t="s">
        <v>167</v>
      </c>
    </row>
    <row r="42" customFormat="false" ht="15" hidden="false" customHeight="false" outlineLevel="0" collapsed="false">
      <c r="A42" s="25" t="s">
        <v>168</v>
      </c>
      <c r="B42" s="52" t="n">
        <f aca="false">$B$39*(1+Параметры!$B$11)</f>
        <v>646.229844865969</v>
      </c>
      <c r="C42" s="25" t="s">
        <v>85</v>
      </c>
      <c r="D42" s="2" t="s">
        <v>169</v>
      </c>
    </row>
    <row r="43" customFormat="false" ht="15" hidden="false" customHeight="false" outlineLevel="0" collapsed="false">
      <c r="A43" s="25" t="s">
        <v>170</v>
      </c>
      <c r="B43" s="7" t="n">
        <f aca="false">$B$42*(1-Параметры!$B$12)</f>
        <v>613.91835262267</v>
      </c>
      <c r="C43" s="25" t="s">
        <v>85</v>
      </c>
      <c r="D43" s="2" t="s">
        <v>171</v>
      </c>
    </row>
    <row r="44" customFormat="false" ht="15" hidden="false" customHeight="false" outlineLevel="0" collapsed="false">
      <c r="A44" s="25" t="s">
        <v>172</v>
      </c>
      <c r="B44" s="8" t="n">
        <f aca="false">IF($B$40&gt;0,$B$39/$B$40-1,0)</f>
        <v>0.873468838613039</v>
      </c>
      <c r="C44" s="25" t="s">
        <v>70</v>
      </c>
      <c r="D44" s="2"/>
    </row>
    <row r="45" customFormat="false" ht="15" hidden="false" customHeight="false" outlineLevel="0" collapsed="false">
      <c r="A45" s="25" t="s">
        <v>173</v>
      </c>
      <c r="B45" s="8" t="n">
        <f aca="false">IF($B$40&gt;0,$B$42/$B$40-1,0)</f>
        <v>1.21069322956339</v>
      </c>
      <c r="C45" s="25" t="s">
        <v>70</v>
      </c>
      <c r="D45" s="2"/>
    </row>
    <row r="46" customFormat="false" ht="15" hidden="false" customHeight="false" outlineLevel="0" collapsed="false">
      <c r="A46" s="13" t="s">
        <v>11</v>
      </c>
      <c r="B46" s="4" t="str">
        <f aca="false">IF($B$40&lt;=$B$41,"ЗОНА ПОКУПКИ",IF($B$40&gt;=$B$42,"ЦЕНА ПРОДАЖИ",IF($B$40&gt;=$B$43,"ПРИБЛИЖАЕТСЯ К ПРОДАЖЕ","ДЕРЖАТЬ")))</f>
        <v>ЗОНА ПОКУПКИ</v>
      </c>
      <c r="C46" s="25"/>
      <c r="D46" s="2" t="s">
        <v>174</v>
      </c>
    </row>
    <row r="48" customFormat="false" ht="15" hidden="false" customHeight="false" outlineLevel="0" collapsed="false">
      <c r="A48" s="40" t="s">
        <v>175</v>
      </c>
      <c r="B48" s="41"/>
      <c r="C48" s="41"/>
      <c r="D48" s="41"/>
    </row>
    <row r="49" customFormat="false" ht="15" hidden="false" customHeight="false" outlineLevel="0" collapsed="false">
      <c r="A49" s="25" t="s">
        <v>176</v>
      </c>
      <c r="B49" s="8" t="n">
        <f aca="false">IF($B$39&gt;0,$B$32/$B$39,0)</f>
        <v>0.212855420685983</v>
      </c>
      <c r="C49" s="25" t="s">
        <v>70</v>
      </c>
      <c r="D49" s="27"/>
    </row>
    <row r="50" customFormat="false" ht="22.35" hidden="false" customHeight="false" outlineLevel="0" collapsed="false">
      <c r="A50" s="25" t="s">
        <v>177</v>
      </c>
      <c r="B50" s="7" t="n">
        <f aca="false">IF($B$17&gt;0,$B$32/$B$17*Параметры!$B$24,0)</f>
        <v>23.3141568625056</v>
      </c>
      <c r="C50" s="25" t="s">
        <v>85</v>
      </c>
      <c r="D50" s="27" t="s">
        <v>178</v>
      </c>
    </row>
    <row r="51" customFormat="false" ht="15" hidden="false" customHeight="false" outlineLevel="0" collapsed="false">
      <c r="A51" s="25" t="s">
        <v>179</v>
      </c>
      <c r="B51" s="12" t="n">
        <f aca="false">$B$28+$B$50</f>
        <v>415.736185624022</v>
      </c>
      <c r="C51" s="25" t="s">
        <v>85</v>
      </c>
      <c r="D51" s="27" t="s">
        <v>180</v>
      </c>
    </row>
    <row r="52" customFormat="false" ht="15" hidden="false" customHeight="false" outlineLevel="0" collapsed="false">
      <c r="A52" s="25" t="s">
        <v>181</v>
      </c>
      <c r="B52" s="12" t="n">
        <f aca="false">$B$8/$B$10</f>
        <v>86.3328463275335</v>
      </c>
      <c r="C52" s="25" t="s">
        <v>85</v>
      </c>
      <c r="D52" s="27"/>
    </row>
    <row r="53" customFormat="false" ht="15" hidden="false" customHeight="false" outlineLevel="0" collapsed="false">
      <c r="A53" s="25" t="s">
        <v>182</v>
      </c>
      <c r="B53" s="53" t="n">
        <f aca="false">IF($B$52&gt;0,$B$28/$B$52,0)</f>
        <v>4.54545454545455</v>
      </c>
      <c r="C53" s="25" t="s">
        <v>101</v>
      </c>
      <c r="D53" s="27" t="s">
        <v>183</v>
      </c>
    </row>
    <row r="54" customFormat="false" ht="15" hidden="false" customHeight="false" outlineLevel="0" collapsed="false">
      <c r="A54" s="25" t="s">
        <v>184</v>
      </c>
      <c r="B54" s="53" t="n">
        <f aca="false">IF($B$52&gt;0,$B$40/$B$52,0)</f>
        <v>3.38596504615385</v>
      </c>
      <c r="C54" s="25" t="s">
        <v>101</v>
      </c>
      <c r="D54" s="27"/>
    </row>
    <row r="55" customFormat="false" ht="15" hidden="false" customHeight="false" outlineLevel="0" collapsed="false">
      <c r="A55" s="25" t="s">
        <v>185</v>
      </c>
      <c r="B55" s="8" t="n">
        <f aca="false">IF($B$40&gt;0,$B$25/$B$40,0)</f>
        <v>0.14766838794392</v>
      </c>
      <c r="C55" s="25" t="s">
        <v>70</v>
      </c>
      <c r="D55" s="27"/>
    </row>
    <row r="56" customFormat="false" ht="22.35" hidden="false" customHeight="false" outlineLevel="0" collapsed="false">
      <c r="A56" s="25" t="s">
        <v>186</v>
      </c>
      <c r="B56" s="7" t="n">
        <f aca="false">IF(Параметры!$B$8+Параметры!$B$7+$B$12-$B$13&gt;0,$B$25/(Параметры!$B$8+Параметры!$B$7+$B$12-$B$13),0)</f>
        <v>295.660432628539</v>
      </c>
      <c r="C56" s="25" t="s">
        <v>85</v>
      </c>
      <c r="D56" s="27" t="s">
        <v>187</v>
      </c>
    </row>
    <row r="57" customFormat="false" ht="15" hidden="false" customHeight="false" outlineLevel="0" collapsed="false">
      <c r="A57" s="25" t="s">
        <v>188</v>
      </c>
      <c r="B57" s="8" t="n">
        <f aca="false">IF($B$40&gt;0,$B$25/$B$40+$B$13,0)</f>
        <v>0.22766838794392</v>
      </c>
      <c r="C57" s="25" t="s">
        <v>70</v>
      </c>
      <c r="D57" s="27" t="s">
        <v>189</v>
      </c>
    </row>
    <row r="59" customFormat="false" ht="15" hidden="false" customHeight="false" outlineLevel="0" collapsed="false">
      <c r="A59" s="40" t="s">
        <v>190</v>
      </c>
      <c r="B59" s="41"/>
      <c r="C59" s="41"/>
      <c r="D59" s="41"/>
      <c r="E59" s="41"/>
      <c r="F59" s="41"/>
      <c r="G59" s="41"/>
    </row>
    <row r="60" customFormat="false" ht="15" hidden="false" customHeight="false" outlineLevel="0" collapsed="false">
      <c r="A60" s="13" t="s">
        <v>191</v>
      </c>
      <c r="B60" s="54" t="n">
        <v>1800</v>
      </c>
      <c r="C60" s="54" t="n">
        <v>1875</v>
      </c>
      <c r="D60" s="54" t="n">
        <v>1950</v>
      </c>
      <c r="E60" s="54" t="n">
        <v>2025</v>
      </c>
      <c r="F60" s="54" t="n">
        <v>2100</v>
      </c>
    </row>
    <row r="61" customFormat="false" ht="15" hidden="false" customHeight="false" outlineLevel="0" collapsed="false">
      <c r="A61" s="55" t="n">
        <v>0.06</v>
      </c>
      <c r="B61" s="10" t="n">
        <f aca="false">(B$60*$B$9/$B$10/($B$11+$B$12-$A61)+$B$14*$B$15*$B$16*$B$17/(1+$B$11)^$B$18/$B$10)+$B$19*(($B$21*B$60/$B$10)-(B$60*$B$9/$B$10/($B$11+$B$12-$A61)))*((1+$B$22)/(1+$B$11))^$B$20</f>
        <v>475.920339904794</v>
      </c>
      <c r="C61" s="10" t="n">
        <f aca="false">(C$60*$B$9/$B$10/($B$11+$B$12-$A61)+$B$14*$B$15*$B$16*$B$17/(1+$B$11)^$B$18/$B$10)+$B$19*(($B$21*C$60/$B$10)-(C$60*$B$9/$B$10/($B$11+$B$12-$A61)))*((1+$B$22)/(1+$B$11))^$B$20</f>
        <v>490.893238054471</v>
      </c>
      <c r="D61" s="10" t="n">
        <f aca="false">(D$60*$B$9/$B$10/($B$11+$B$12-$A61)+$B$14*$B$15*$B$16*$B$17/(1+$B$11)^$B$18/$B$10)+$B$19*(($B$21*D$60/$B$10)-(D$60*$B$9/$B$10/($B$11+$B$12-$A61)))*((1+$B$22)/(1+$B$11))^$B$20</f>
        <v>505.866136204149</v>
      </c>
      <c r="E61" s="10" t="n">
        <f aca="false">(E$60*$B$9/$B$10/($B$11+$B$12-$A61)+$B$14*$B$15*$B$16*$B$17/(1+$B$11)^$B$18/$B$10)+$B$19*(($B$21*E$60/$B$10)-(E$60*$B$9/$B$10/($B$11+$B$12-$A61)))*((1+$B$22)/(1+$B$11))^$B$20</f>
        <v>520.839034353827</v>
      </c>
      <c r="F61" s="10" t="n">
        <f aca="false">(F$60*$B$9/$B$10/($B$11+$B$12-$A61)+$B$14*$B$15*$B$16*$B$17/(1+$B$11)^$B$18/$B$10)+$B$19*(($B$21*F$60/$B$10)-(F$60*$B$9/$B$10/($B$11+$B$12-$A61)))*((1+$B$22)/(1+$B$11))^$B$20</f>
        <v>535.811932503504</v>
      </c>
    </row>
    <row r="62" customFormat="false" ht="15" hidden="false" customHeight="false" outlineLevel="0" collapsed="false">
      <c r="A62" s="55" t="n">
        <v>0.07</v>
      </c>
      <c r="B62" s="10" t="n">
        <f aca="false">(B$60*$B$9/$B$10/($B$11+$B$12-$A62)+$B$14*$B$15*$B$16*$B$17/(1+$B$11)^$B$18/$B$10)+$B$19*(($B$21*B$60/$B$10)-(B$60*$B$9/$B$10/($B$11+$B$12-$A62)))*((1+$B$22)/(1+$B$11))^$B$20</f>
        <v>493.599148431384</v>
      </c>
      <c r="C62" s="10" t="n">
        <f aca="false">(C$60*$B$9/$B$10/($B$11+$B$12-$A62)+$B$14*$B$15*$B$16*$B$17/(1+$B$11)^$B$18/$B$10)+$B$19*(($B$21*C$60/$B$10)-(C$60*$B$9/$B$10/($B$11+$B$12-$A62)))*((1+$B$22)/(1+$B$11))^$B$20</f>
        <v>509.308663603003</v>
      </c>
      <c r="D62" s="10" t="n">
        <f aca="false">(D$60*$B$9/$B$10/($B$11+$B$12-$A62)+$B$14*$B$15*$B$16*$B$17/(1+$B$11)^$B$18/$B$10)+$B$19*(($B$21*D$60/$B$10)-(D$60*$B$9/$B$10/($B$11+$B$12-$A62)))*((1+$B$22)/(1+$B$11))^$B$20</f>
        <v>525.018178774622</v>
      </c>
      <c r="E62" s="10" t="n">
        <f aca="false">(E$60*$B$9/$B$10/($B$11+$B$12-$A62)+$B$14*$B$15*$B$16*$B$17/(1+$B$11)^$B$18/$B$10)+$B$19*(($B$21*E$60/$B$10)-(E$60*$B$9/$B$10/($B$11+$B$12-$A62)))*((1+$B$22)/(1+$B$11))^$B$20</f>
        <v>540.727693946241</v>
      </c>
      <c r="F62" s="10" t="n">
        <f aca="false">(F$60*$B$9/$B$10/($B$11+$B$12-$A62)+$B$14*$B$15*$B$16*$B$17/(1+$B$11)^$B$18/$B$10)+$B$19*(($B$21*F$60/$B$10)-(F$60*$B$9/$B$10/($B$11+$B$12-$A62)))*((1+$B$22)/(1+$B$11))^$B$20</f>
        <v>556.43720911786</v>
      </c>
    </row>
    <row r="63" customFormat="false" ht="15" hidden="false" customHeight="false" outlineLevel="0" collapsed="false">
      <c r="A63" s="55" t="n">
        <v>0.08</v>
      </c>
      <c r="B63" s="10" t="n">
        <f aca="false">(B$60*$B$9/$B$10/($B$11+$B$12-$A63)+$B$14*$B$15*$B$16*$B$17/(1+$B$11)^$B$18/$B$10)+$B$19*(($B$21*B$60/$B$10)-(B$60*$B$9/$B$10/($B$11+$B$12-$A63)))*((1+$B$22)/(1+$B$11))^$B$20</f>
        <v>514.492285780991</v>
      </c>
      <c r="C63" s="10" t="n">
        <f aca="false">(C$60*$B$9/$B$10/($B$11+$B$12-$A63)+$B$14*$B$15*$B$16*$B$17/(1+$B$11)^$B$18/$B$10)+$B$19*(($B$21*C$60/$B$10)-(C$60*$B$9/$B$10/($B$11+$B$12-$A63)))*((1+$B$22)/(1+$B$11))^$B$20</f>
        <v>531.072348342177</v>
      </c>
      <c r="D63" s="56" t="n">
        <f aca="false">(D$60*$B$9/$B$10/($B$11+$B$12-$A63)+$B$14*$B$15*$B$16*$B$17/(1+$B$11)^$B$18/$B$10)+$B$19*(($B$21*D$60/$B$10)-(D$60*$B$9/$B$10/($B$11+$B$12-$A63)))*((1+$B$22)/(1+$B$11))^$B$20</f>
        <v>547.652410903363</v>
      </c>
      <c r="E63" s="10" t="n">
        <f aca="false">(E$60*$B$9/$B$10/($B$11+$B$12-$A63)+$B$14*$B$15*$B$16*$B$17/(1+$B$11)^$B$18/$B$10)+$B$19*(($B$21*E$60/$B$10)-(E$60*$B$9/$B$10/($B$11+$B$12-$A63)))*((1+$B$22)/(1+$B$11))^$B$20</f>
        <v>564.232473464549</v>
      </c>
      <c r="F63" s="10" t="n">
        <f aca="false">(F$60*$B$9/$B$10/($B$11+$B$12-$A63)+$B$14*$B$15*$B$16*$B$17/(1+$B$11)^$B$18/$B$10)+$B$19*(($B$21*F$60/$B$10)-(F$60*$B$9/$B$10/($B$11+$B$12-$A63)))*((1+$B$22)/(1+$B$11))^$B$20</f>
        <v>580.812536025735</v>
      </c>
    </row>
    <row r="64" customFormat="false" ht="15" hidden="false" customHeight="false" outlineLevel="0" collapsed="false">
      <c r="A64" s="55" t="n">
        <v>0.09</v>
      </c>
      <c r="B64" s="10" t="n">
        <f aca="false">(B$60*$B$9/$B$10/($B$11+$B$12-$A64)+$B$14*$B$15*$B$16*$B$17/(1+$B$11)^$B$18/$B$10)+$B$19*(($B$21*B$60/$B$10)-(B$60*$B$9/$B$10/($B$11+$B$12-$A64)))*((1+$B$22)/(1+$B$11))^$B$20</f>
        <v>539.56405060052</v>
      </c>
      <c r="C64" s="10" t="n">
        <f aca="false">(C$60*$B$9/$B$10/($B$11+$B$12-$A64)+$B$14*$B$15*$B$16*$B$17/(1+$B$11)^$B$18/$B$10)+$B$19*(($B$21*C$60/$B$10)-(C$60*$B$9/$B$10/($B$11+$B$12-$A64)))*((1+$B$22)/(1+$B$11))^$B$20</f>
        <v>557.188770029187</v>
      </c>
      <c r="D64" s="10" t="n">
        <f aca="false">(D$60*$B$9/$B$10/($B$11+$B$12-$A64)+$B$14*$B$15*$B$16*$B$17/(1+$B$11)^$B$18/$B$10)+$B$19*(($B$21*D$60/$B$10)-(D$60*$B$9/$B$10/($B$11+$B$12-$A64)))*((1+$B$22)/(1+$B$11))^$B$20</f>
        <v>574.813489457853</v>
      </c>
      <c r="E64" s="10" t="n">
        <f aca="false">(E$60*$B$9/$B$10/($B$11+$B$12-$A64)+$B$14*$B$15*$B$16*$B$17/(1+$B$11)^$B$18/$B$10)+$B$19*(($B$21*E$60/$B$10)-(E$60*$B$9/$B$10/($B$11+$B$12-$A64)))*((1+$B$22)/(1+$B$11))^$B$20</f>
        <v>592.438208886519</v>
      </c>
      <c r="F64" s="10" t="n">
        <f aca="false">(F$60*$B$9/$B$10/($B$11+$B$12-$A64)+$B$14*$B$15*$B$16*$B$17/(1+$B$11)^$B$18/$B$10)+$B$19*(($B$21*F$60/$B$10)-(F$60*$B$9/$B$10/($B$11+$B$12-$A64)))*((1+$B$22)/(1+$B$11))^$B$20</f>
        <v>610.062928315185</v>
      </c>
    </row>
    <row r="65" customFormat="false" ht="15" hidden="false" customHeight="false" outlineLevel="0" collapsed="false">
      <c r="A65" s="55" t="n">
        <v>0.1</v>
      </c>
      <c r="B65" s="10" t="n">
        <f aca="false">(B$60*$B$9/$B$10/($B$11+$B$12-$A65)+$B$14*$B$15*$B$16*$B$17/(1+$B$11)^$B$18/$B$10)+$B$19*(($B$21*B$60/$B$10)-(B$60*$B$9/$B$10/($B$11+$B$12-$A65)))*((1+$B$22)/(1+$B$11))^$B$20</f>
        <v>570.207318713277</v>
      </c>
      <c r="C65" s="10" t="n">
        <f aca="false">(C$60*$B$9/$B$10/($B$11+$B$12-$A65)+$B$14*$B$15*$B$16*$B$17/(1+$B$11)^$B$18/$B$10)+$B$19*(($B$21*C$60/$B$10)-(C$60*$B$9/$B$10/($B$11+$B$12-$A65)))*((1+$B$22)/(1+$B$11))^$B$20</f>
        <v>589.108840979975</v>
      </c>
      <c r="D65" s="10" t="n">
        <f aca="false">(D$60*$B$9/$B$10/($B$11+$B$12-$A65)+$B$14*$B$15*$B$16*$B$17/(1+$B$11)^$B$18/$B$10)+$B$19*(($B$21*D$60/$B$10)-(D$60*$B$9/$B$10/($B$11+$B$12-$A65)))*((1+$B$22)/(1+$B$11))^$B$20</f>
        <v>608.010363246673</v>
      </c>
      <c r="E65" s="10" t="n">
        <f aca="false">(E$60*$B$9/$B$10/($B$11+$B$12-$A65)+$B$14*$B$15*$B$16*$B$17/(1+$B$11)^$B$18/$B$10)+$B$19*(($B$21*E$60/$B$10)-(E$60*$B$9/$B$10/($B$11+$B$12-$A65)))*((1+$B$22)/(1+$B$11))^$B$20</f>
        <v>626.911885513371</v>
      </c>
      <c r="F65" s="10" t="n">
        <f aca="false">(F$60*$B$9/$B$10/($B$11+$B$12-$A65)+$B$14*$B$15*$B$16*$B$17/(1+$B$11)^$B$18/$B$10)+$B$19*(($B$21*F$60/$B$10)-(F$60*$B$9/$B$10/($B$11+$B$12-$A65)))*((1+$B$22)/(1+$B$11))^$B$20</f>
        <v>645.813407780069</v>
      </c>
    </row>
    <row r="66" customFormat="false" ht="15" hidden="false" customHeight="false" outlineLevel="0" collapsed="false">
      <c r="A66" s="2" t="s">
        <v>192</v>
      </c>
    </row>
    <row r="68" customFormat="false" ht="15" hidden="false" customHeight="false" outlineLevel="0" collapsed="false">
      <c r="A68" s="40" t="s">
        <v>193</v>
      </c>
      <c r="B68" s="41"/>
      <c r="C68" s="41"/>
      <c r="D68" s="41"/>
      <c r="E68" s="41"/>
      <c r="F68" s="41"/>
      <c r="G68" s="41"/>
    </row>
    <row r="69" customFormat="false" ht="15" hidden="false" customHeight="false" outlineLevel="0" collapsed="false">
      <c r="A69" s="13" t="s">
        <v>194</v>
      </c>
      <c r="B69" s="54" t="n">
        <v>400</v>
      </c>
      <c r="C69" s="54" t="n">
        <v>590</v>
      </c>
      <c r="D69" s="54" t="n">
        <v>778</v>
      </c>
      <c r="E69" s="54" t="n">
        <v>950</v>
      </c>
      <c r="F69" s="54" t="n">
        <v>1120</v>
      </c>
    </row>
    <row r="70" customFormat="false" ht="15" hidden="false" customHeight="false" outlineLevel="0" collapsed="false">
      <c r="A70" s="55" t="n">
        <v>0.2</v>
      </c>
      <c r="B70" s="10" t="n">
        <f aca="false">($B$8*$B$9/$B$10/($B$11+$B$12-$B$13)+B$69*$A70*$B$16*$B$17/(1+$B$11)^$B$18/$B$10)+$B$19*(($B$21*$B$8/$B$10)-($B$8*$B$9/$B$10/($B$11+$B$12-$B$13)))*((1+$B$22)/(1+$B$11))^$B$20</f>
        <v>461.048409190457</v>
      </c>
      <c r="C70" s="10" t="n">
        <f aca="false">($B$8*$B$9/$B$10/($B$11+$B$12-$B$13)+C$69*$A70*$B$16*$B$17/(1+$B$11)^$B$18/$B$10)+$B$19*(($B$21*$B$8/$B$10)-($B$8*$B$9/$B$10/($B$11+$B$12-$B$13)))*((1+$B$22)/(1+$B$11))^$B$20</f>
        <v>475.282630925277</v>
      </c>
      <c r="D70" s="10" t="n">
        <f aca="false">($B$8*$B$9/$B$10/($B$11+$B$12-$B$13)+D$69*$A70*$B$16*$B$17/(1+$B$11)^$B$18/$B$10)+$B$19*(($B$21*$B$8/$B$10)-($B$8*$B$9/$B$10/($B$11+$B$12-$B$13)))*((1+$B$22)/(1+$B$11))^$B$20</f>
        <v>489.367018747099</v>
      </c>
      <c r="E70" s="10" t="n">
        <f aca="false">($B$8*$B$9/$B$10/($B$11+$B$12-$B$13)+E$69*$A70*$B$16*$B$17/(1+$B$11)^$B$18/$B$10)+$B$19*(($B$21*$B$8/$B$10)-($B$8*$B$9/$B$10/($B$11+$B$12-$B$13)))*((1+$B$22)/(1+$B$11))^$B$20</f>
        <v>502.252735264937</v>
      </c>
      <c r="F70" s="10" t="n">
        <f aca="false">($B$8*$B$9/$B$10/($B$11+$B$12-$B$13)+F$69*$A70*$B$16*$B$17/(1+$B$11)^$B$18/$B$10)+$B$19*(($B$21*$B$8/$B$10)-($B$8*$B$9/$B$10/($B$11+$B$12-$B$13)))*((1+$B$22)/(1+$B$11))^$B$20</f>
        <v>514.988617869776</v>
      </c>
    </row>
    <row r="71" customFormat="false" ht="15" hidden="false" customHeight="false" outlineLevel="0" collapsed="false">
      <c r="A71" s="55" t="n">
        <v>0.3</v>
      </c>
      <c r="B71" s="10" t="n">
        <f aca="false">($B$8*$B$9/$B$10/($B$11+$B$12-$B$13)+B$69*$A71*$B$16*$B$17/(1+$B$11)^$B$18/$B$10)+$B$19*(($B$21*$B$8/$B$10)-($B$8*$B$9/$B$10/($B$11+$B$12-$B$13)))*((1+$B$22)/(1+$B$11))^$B$20</f>
        <v>476.031800490268</v>
      </c>
      <c r="C71" s="10" t="n">
        <f aca="false">($B$8*$B$9/$B$10/($B$11+$B$12-$B$13)+C$69*$A71*$B$16*$B$17/(1+$B$11)^$B$18/$B$10)+$B$19*(($B$21*$B$8/$B$10)-($B$8*$B$9/$B$10/($B$11+$B$12-$B$13)))*((1+$B$22)/(1+$B$11))^$B$20</f>
        <v>497.383133092498</v>
      </c>
      <c r="D71" s="10" t="n">
        <f aca="false">($B$8*$B$9/$B$10/($B$11+$B$12-$B$13)+D$69*$A71*$B$16*$B$17/(1+$B$11)^$B$18/$B$10)+$B$19*(($B$21*$B$8/$B$10)-($B$8*$B$9/$B$10/($B$11+$B$12-$B$13)))*((1+$B$22)/(1+$B$11))^$B$20</f>
        <v>518.509714825231</v>
      </c>
      <c r="E71" s="10" t="n">
        <f aca="false">($B$8*$B$9/$B$10/($B$11+$B$12-$B$13)+E$69*$A71*$B$16*$B$17/(1+$B$11)^$B$18/$B$10)+$B$19*(($B$21*$B$8/$B$10)-($B$8*$B$9/$B$10/($B$11+$B$12-$B$13)))*((1+$B$22)/(1+$B$11))^$B$20</f>
        <v>537.838289601987</v>
      </c>
      <c r="F71" s="10" t="n">
        <f aca="false">($B$8*$B$9/$B$10/($B$11+$B$12-$B$13)+F$69*$A71*$B$16*$B$17/(1+$B$11)^$B$18/$B$10)+$B$19*(($B$21*$B$8/$B$10)-($B$8*$B$9/$B$10/($B$11+$B$12-$B$13)))*((1+$B$22)/(1+$B$11))^$B$20</f>
        <v>556.942113509246</v>
      </c>
    </row>
    <row r="72" customFormat="false" ht="15" hidden="false" customHeight="false" outlineLevel="0" collapsed="false">
      <c r="A72" s="55" t="n">
        <v>0.4</v>
      </c>
      <c r="B72" s="10" t="n">
        <f aca="false">($B$8*$B$9/$B$10/($B$11+$B$12-$B$13)+B$69*$A72*$B$16*$B$17/(1+$B$11)^$B$18/$B$10)+$B$19*(($B$21*$B$8/$B$10)-($B$8*$B$9/$B$10/($B$11+$B$12-$B$13)))*((1+$B$22)/(1+$B$11))^$B$20</f>
        <v>491.015191790079</v>
      </c>
      <c r="C72" s="10" t="n">
        <f aca="false">($B$8*$B$9/$B$10/($B$11+$B$12-$B$13)+C$69*$A72*$B$16*$B$17/(1+$B$11)^$B$18/$B$10)+$B$19*(($B$21*$B$8/$B$10)-($B$8*$B$9/$B$10/($B$11+$B$12-$B$13)))*((1+$B$22)/(1+$B$11))^$B$20</f>
        <v>519.483635259719</v>
      </c>
      <c r="D72" s="56" t="n">
        <f aca="false">($B$8*$B$9/$B$10/($B$11+$B$12-$B$13)+D$69*$A72*$B$16*$B$17/(1+$B$11)^$B$18/$B$10)+$B$19*(($B$21*$B$8/$B$10)-($B$8*$B$9/$B$10/($B$11+$B$12-$B$13)))*((1+$B$22)/(1+$B$11))^$B$20</f>
        <v>547.652410903363</v>
      </c>
      <c r="E72" s="10" t="n">
        <f aca="false">($B$8*$B$9/$B$10/($B$11+$B$12-$B$13)+E$69*$A72*$B$16*$B$17/(1+$B$11)^$B$18/$B$10)+$B$19*(($B$21*$B$8/$B$10)-($B$8*$B$9/$B$10/($B$11+$B$12-$B$13)))*((1+$B$22)/(1+$B$11))^$B$20</f>
        <v>573.423843939038</v>
      </c>
      <c r="F72" s="10" t="n">
        <f aca="false">($B$8*$B$9/$B$10/($B$11+$B$12-$B$13)+F$69*$A72*$B$16*$B$17/(1+$B$11)^$B$18/$B$10)+$B$19*(($B$21*$B$8/$B$10)-($B$8*$B$9/$B$10/($B$11+$B$12-$B$13)))*((1+$B$22)/(1+$B$11))^$B$20</f>
        <v>598.895609148716</v>
      </c>
    </row>
    <row r="73" customFormat="false" ht="15" hidden="false" customHeight="false" outlineLevel="0" collapsed="false">
      <c r="A73" s="55" t="n">
        <v>0.5</v>
      </c>
      <c r="B73" s="10" t="n">
        <f aca="false">($B$8*$B$9/$B$10/($B$11+$B$12-$B$13)+B$69*$A73*$B$16*$B$17/(1+$B$11)^$B$18/$B$10)+$B$19*(($B$21*$B$8/$B$10)-($B$8*$B$9/$B$10/($B$11+$B$12-$B$13)))*((1+$B$22)/(1+$B$11))^$B$20</f>
        <v>505.998583089889</v>
      </c>
      <c r="C73" s="10" t="n">
        <f aca="false">($B$8*$B$9/$B$10/($B$11+$B$12-$B$13)+C$69*$A73*$B$16*$B$17/(1+$B$11)^$B$18/$B$10)+$B$19*(($B$21*$B$8/$B$10)-($B$8*$B$9/$B$10/($B$11+$B$12-$B$13)))*((1+$B$22)/(1+$B$11))^$B$20</f>
        <v>541.58413742694</v>
      </c>
      <c r="D73" s="10" t="n">
        <f aca="false">($B$8*$B$9/$B$10/($B$11+$B$12-$B$13)+D$69*$A73*$B$16*$B$17/(1+$B$11)^$B$18/$B$10)+$B$19*(($B$21*$B$8/$B$10)-($B$8*$B$9/$B$10/($B$11+$B$12-$B$13)))*((1+$B$22)/(1+$B$11))^$B$20</f>
        <v>576.795106981496</v>
      </c>
      <c r="E73" s="10" t="n">
        <f aca="false">($B$8*$B$9/$B$10/($B$11+$B$12-$B$13)+E$69*$A73*$B$16*$B$17/(1+$B$11)^$B$18/$B$10)+$B$19*(($B$21*$B$8/$B$10)-($B$8*$B$9/$B$10/($B$11+$B$12-$B$13)))*((1+$B$22)/(1+$B$11))^$B$20</f>
        <v>609.009398276089</v>
      </c>
      <c r="F73" s="10" t="n">
        <f aca="false">($B$8*$B$9/$B$10/($B$11+$B$12-$B$13)+F$69*$A73*$B$16*$B$17/(1+$B$11)^$B$18/$B$10)+$B$19*(($B$21*$B$8/$B$10)-($B$8*$B$9/$B$10/($B$11+$B$12-$B$13)))*((1+$B$22)/(1+$B$11))^$B$20</f>
        <v>640.849104788187</v>
      </c>
    </row>
    <row r="74" customFormat="false" ht="15" hidden="false" customHeight="false" outlineLevel="0" collapsed="false">
      <c r="A74" s="55" t="n">
        <v>0.6</v>
      </c>
      <c r="B74" s="10" t="n">
        <f aca="false">($B$8*$B$9/$B$10/($B$11+$B$12-$B$13)+B$69*$A74*$B$16*$B$17/(1+$B$11)^$B$18/$B$10)+$B$19*(($B$21*$B$8/$B$10)-($B$8*$B$9/$B$10/($B$11+$B$12-$B$13)))*((1+$B$22)/(1+$B$11))^$B$20</f>
        <v>520.9819743897</v>
      </c>
      <c r="C74" s="10" t="n">
        <f aca="false">($B$8*$B$9/$B$10/($B$11+$B$12-$B$13)+C$69*$A74*$B$16*$B$17/(1+$B$11)^$B$18/$B$10)+$B$19*(($B$21*$B$8/$B$10)-($B$8*$B$9/$B$10/($B$11+$B$12-$B$13)))*((1+$B$22)/(1+$B$11))^$B$20</f>
        <v>563.684639594161</v>
      </c>
      <c r="D74" s="10" t="n">
        <f aca="false">($B$8*$B$9/$B$10/($B$11+$B$12-$B$13)+D$69*$A74*$B$16*$B$17/(1+$B$11)^$B$18/$B$10)+$B$19*(($B$21*$B$8/$B$10)-($B$8*$B$9/$B$10/($B$11+$B$12-$B$13)))*((1+$B$22)/(1+$B$11))^$B$20</f>
        <v>605.937803059627</v>
      </c>
      <c r="E74" s="10" t="n">
        <f aca="false">($B$8*$B$9/$B$10/($B$11+$B$12-$B$13)+E$69*$A74*$B$16*$B$17/(1+$B$11)^$B$18/$B$10)+$B$19*(($B$21*$B$8/$B$10)-($B$8*$B$9/$B$10/($B$11+$B$12-$B$13)))*((1+$B$22)/(1+$B$11))^$B$20</f>
        <v>644.594952613139</v>
      </c>
      <c r="F74" s="10" t="n">
        <f aca="false">($B$8*$B$9/$B$10/($B$11+$B$12-$B$13)+F$69*$A74*$B$16*$B$17/(1+$B$11)^$B$18/$B$10)+$B$19*(($B$21*$B$8/$B$10)-($B$8*$B$9/$B$10/($B$11+$B$12-$B$13)))*((1+$B$22)/(1+$B$11))^$B$20</f>
        <v>682.802600427657</v>
      </c>
    </row>
    <row r="75" customFormat="false" ht="15" hidden="false" customHeight="false" outlineLevel="0" collapsed="false">
      <c r="A75" s="2" t="s">
        <v>192</v>
      </c>
    </row>
    <row r="77" customFormat="false" ht="15" hidden="false" customHeight="false" outlineLevel="0" collapsed="false">
      <c r="A77" s="40" t="s">
        <v>195</v>
      </c>
      <c r="B77" s="41"/>
      <c r="C77" s="41"/>
      <c r="D77" s="41"/>
    </row>
    <row r="78" customFormat="false" ht="43.5" hidden="false" customHeight="true" outlineLevel="0" collapsed="false">
      <c r="A78" s="57" t="s">
        <v>196</v>
      </c>
      <c r="B78" s="57"/>
      <c r="C78" s="57"/>
      <c r="D78" s="57"/>
    </row>
    <row r="79" customFormat="false" ht="15" hidden="false" customHeight="false" outlineLevel="0" collapsed="false">
      <c r="A79" s="58" t="s">
        <v>197</v>
      </c>
      <c r="B79" s="58"/>
      <c r="C79" s="58"/>
      <c r="D79" s="58"/>
    </row>
    <row r="80" customFormat="false" ht="15" hidden="false" customHeight="false" outlineLevel="0" collapsed="false">
      <c r="A80" s="58" t="s">
        <v>198</v>
      </c>
      <c r="B80" s="58"/>
      <c r="C80" s="58"/>
      <c r="D80" s="58"/>
    </row>
    <row r="81" customFormat="false" ht="15" hidden="false" customHeight="false" outlineLevel="0" collapsed="false">
      <c r="A81" s="58" t="s">
        <v>199</v>
      </c>
      <c r="B81" s="58"/>
      <c r="C81" s="58"/>
      <c r="D81" s="58"/>
    </row>
    <row r="82" customFormat="false" ht="15" hidden="false" customHeight="false" outlineLevel="0" collapsed="false">
      <c r="A82" s="58" t="s">
        <v>200</v>
      </c>
      <c r="B82" s="58"/>
      <c r="C82" s="58"/>
      <c r="D82" s="58"/>
    </row>
    <row r="84" customFormat="false" ht="15" hidden="false" customHeight="false" outlineLevel="0" collapsed="false">
      <c r="A84" s="40" t="s">
        <v>201</v>
      </c>
      <c r="B84" s="41"/>
      <c r="C84" s="41"/>
      <c r="D84" s="41"/>
    </row>
    <row r="85" customFormat="false" ht="15" hidden="false" customHeight="false" outlineLevel="0" collapsed="false">
      <c r="A85" s="58" t="s">
        <v>202</v>
      </c>
      <c r="B85" s="58"/>
      <c r="C85" s="58"/>
      <c r="D85" s="58"/>
    </row>
    <row r="86" customFormat="false" ht="15" hidden="false" customHeight="false" outlineLevel="0" collapsed="false">
      <c r="A86" s="58" t="s">
        <v>203</v>
      </c>
      <c r="B86" s="58"/>
      <c r="C86" s="58"/>
      <c r="D86" s="58"/>
    </row>
    <row r="87" customFormat="false" ht="15" hidden="false" customHeight="false" outlineLevel="0" collapsed="false">
      <c r="A87" s="58" t="s">
        <v>204</v>
      </c>
      <c r="B87" s="58"/>
      <c r="C87" s="58"/>
      <c r="D87" s="58"/>
    </row>
    <row r="88" customFormat="false" ht="15" hidden="false" customHeight="false" outlineLevel="0" collapsed="false">
      <c r="A88" s="58" t="s">
        <v>205</v>
      </c>
      <c r="B88" s="58"/>
      <c r="C88" s="58"/>
      <c r="D88" s="58"/>
    </row>
    <row r="89" customFormat="false" ht="15" hidden="false" customHeight="false" outlineLevel="0" collapsed="false">
      <c r="A89" s="58" t="s">
        <v>206</v>
      </c>
      <c r="B89" s="58"/>
      <c r="C89" s="58"/>
      <c r="D89" s="58"/>
    </row>
    <row r="91" customFormat="false" ht="15" hidden="false" customHeight="false" outlineLevel="0" collapsed="false">
      <c r="A91" s="40" t="s">
        <v>207</v>
      </c>
      <c r="B91" s="41"/>
      <c r="C91" s="41"/>
      <c r="D91" s="41"/>
    </row>
    <row r="92" customFormat="false" ht="15" hidden="false" customHeight="false" outlineLevel="0" collapsed="false">
      <c r="A92" s="16" t="s">
        <v>208</v>
      </c>
      <c r="B92" s="16"/>
      <c r="C92" s="16"/>
      <c r="D92" s="16"/>
    </row>
    <row r="93" customFormat="false" ht="15" hidden="false" customHeight="false" outlineLevel="0" collapsed="false">
      <c r="A93" s="16" t="s">
        <v>209</v>
      </c>
      <c r="B93" s="16"/>
      <c r="C93" s="16"/>
      <c r="D93" s="16"/>
    </row>
    <row r="94" customFormat="false" ht="15" hidden="false" customHeight="false" outlineLevel="0" collapsed="false">
      <c r="A94" s="16" t="s">
        <v>210</v>
      </c>
      <c r="B94" s="16"/>
      <c r="C94" s="16"/>
      <c r="D94" s="16"/>
    </row>
    <row r="95" customFormat="false" ht="15" hidden="false" customHeight="false" outlineLevel="0" collapsed="false">
      <c r="A95" s="16" t="s">
        <v>211</v>
      </c>
      <c r="B95" s="16"/>
      <c r="C95" s="16"/>
      <c r="D95" s="16"/>
    </row>
    <row r="96" customFormat="false" ht="15" hidden="false" customHeight="false" outlineLevel="0" collapsed="false">
      <c r="A96" s="16" t="s">
        <v>212</v>
      </c>
      <c r="B96" s="16"/>
      <c r="C96" s="16"/>
      <c r="D96" s="16"/>
    </row>
    <row r="97" customFormat="false" ht="15" hidden="false" customHeight="false" outlineLevel="0" collapsed="false">
      <c r="A97" s="16" t="s">
        <v>213</v>
      </c>
      <c r="B97" s="16"/>
      <c r="C97" s="16"/>
      <c r="D97" s="16"/>
    </row>
    <row r="98" customFormat="false" ht="15" hidden="false" customHeight="false" outlineLevel="0" collapsed="false">
      <c r="A98" s="16" t="s">
        <v>214</v>
      </c>
      <c r="B98" s="16"/>
      <c r="C98" s="16"/>
      <c r="D98" s="16"/>
    </row>
    <row r="99" customFormat="false" ht="15" hidden="false" customHeight="false" outlineLevel="0" collapsed="false">
      <c r="A99" s="16" t="s">
        <v>215</v>
      </c>
      <c r="B99" s="16"/>
      <c r="C99" s="16"/>
      <c r="D99" s="16"/>
    </row>
    <row r="100" customFormat="false" ht="15" hidden="false" customHeight="false" outlineLevel="0" collapsed="false">
      <c r="A100" s="16" t="s">
        <v>216</v>
      </c>
      <c r="B100" s="16"/>
      <c r="C100" s="16"/>
      <c r="D100" s="16"/>
    </row>
  </sheetData>
  <mergeCells count="20">
    <mergeCell ref="A3:D3"/>
    <mergeCell ref="A78:D78"/>
    <mergeCell ref="A79:D79"/>
    <mergeCell ref="A80:D80"/>
    <mergeCell ref="A81:D81"/>
    <mergeCell ref="A82:D82"/>
    <mergeCell ref="A85:D85"/>
    <mergeCell ref="A86:D86"/>
    <mergeCell ref="A87:D87"/>
    <mergeCell ref="A88:D88"/>
    <mergeCell ref="A89:D89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80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13" t="s">
        <v>218</v>
      </c>
    </row>
    <row r="3" customFormat="false" ht="42" hidden="false" customHeight="true" outlineLevel="0" collapsed="false">
      <c r="A3" s="39" t="s">
        <v>219</v>
      </c>
      <c r="B3" s="39"/>
      <c r="C3" s="39"/>
      <c r="D3" s="39"/>
    </row>
    <row r="4" customFormat="false" ht="15" hidden="false" customHeight="false" outlineLevel="0" collapsed="false">
      <c r="A4" s="2" t="s">
        <v>116</v>
      </c>
    </row>
    <row r="6" customFormat="false" ht="15" hidden="false" customHeight="false" outlineLevel="0" collapsed="false">
      <c r="A6" s="24" t="s">
        <v>117</v>
      </c>
      <c r="B6" s="24" t="s">
        <v>64</v>
      </c>
      <c r="C6" s="24" t="s">
        <v>65</v>
      </c>
      <c r="D6" s="24" t="s">
        <v>66</v>
      </c>
    </row>
    <row r="7" customFormat="false" ht="15" hidden="false" customHeight="false" outlineLevel="0" collapsed="false">
      <c r="A7" s="40" t="s">
        <v>118</v>
      </c>
      <c r="B7" s="41"/>
      <c r="C7" s="41"/>
      <c r="D7" s="41"/>
    </row>
    <row r="8" customFormat="false" ht="15" hidden="false" customHeight="false" outlineLevel="0" collapsed="false">
      <c r="A8" s="25" t="s">
        <v>220</v>
      </c>
      <c r="B8" s="17" t="n">
        <v>2550</v>
      </c>
      <c r="C8" s="25" t="s">
        <v>221</v>
      </c>
      <c r="D8" s="27" t="s">
        <v>222</v>
      </c>
    </row>
    <row r="9" customFormat="false" ht="15" hidden="false" customHeight="false" outlineLevel="0" collapsed="false">
      <c r="A9" s="25" t="s">
        <v>223</v>
      </c>
      <c r="B9" s="9" t="n">
        <f aca="false">Параметры!$B$14</f>
        <v>3800</v>
      </c>
      <c r="C9" s="25" t="s">
        <v>88</v>
      </c>
      <c r="D9" s="27" t="s">
        <v>132</v>
      </c>
    </row>
    <row r="10" customFormat="false" ht="22.35" hidden="false" customHeight="false" outlineLevel="0" collapsed="false">
      <c r="A10" s="25" t="s">
        <v>224</v>
      </c>
      <c r="B10" s="59" t="n">
        <v>1000</v>
      </c>
      <c r="C10" s="25" t="s">
        <v>88</v>
      </c>
      <c r="D10" s="27" t="s">
        <v>225</v>
      </c>
    </row>
    <row r="11" customFormat="false" ht="15" hidden="false" customHeight="false" outlineLevel="0" collapsed="false">
      <c r="A11" s="25" t="s">
        <v>226</v>
      </c>
      <c r="B11" s="43" t="n">
        <v>0.06</v>
      </c>
      <c r="C11" s="25" t="s">
        <v>70</v>
      </c>
      <c r="D11" s="27" t="s">
        <v>227</v>
      </c>
    </row>
    <row r="12" customFormat="false" ht="15" hidden="false" customHeight="false" outlineLevel="0" collapsed="false">
      <c r="A12" s="25" t="s">
        <v>228</v>
      </c>
      <c r="B12" s="7" t="n">
        <f aca="false">Параметры!$B$13</f>
        <v>85</v>
      </c>
      <c r="C12" s="25" t="s">
        <v>85</v>
      </c>
      <c r="D12" s="27" t="s">
        <v>132</v>
      </c>
    </row>
    <row r="13" customFormat="false" ht="22.35" hidden="false" customHeight="false" outlineLevel="0" collapsed="false">
      <c r="A13" s="25" t="s">
        <v>229</v>
      </c>
      <c r="B13" s="42" t="n">
        <v>0</v>
      </c>
      <c r="C13" s="25" t="s">
        <v>96</v>
      </c>
      <c r="D13" s="27" t="s">
        <v>230</v>
      </c>
    </row>
    <row r="14" customFormat="false" ht="32.8" hidden="false" customHeight="false" outlineLevel="0" collapsed="false">
      <c r="A14" s="25" t="s">
        <v>231</v>
      </c>
      <c r="B14" s="60" t="n">
        <v>25</v>
      </c>
      <c r="C14" s="25" t="s">
        <v>96</v>
      </c>
      <c r="D14" s="27" t="s">
        <v>232</v>
      </c>
    </row>
    <row r="15" customFormat="false" ht="15" hidden="false" customHeight="false" outlineLevel="0" collapsed="false">
      <c r="A15" s="25" t="s">
        <v>233</v>
      </c>
      <c r="B15" s="49" t="n">
        <v>4.5</v>
      </c>
      <c r="C15" s="25" t="s">
        <v>101</v>
      </c>
      <c r="D15" s="27" t="s">
        <v>234</v>
      </c>
    </row>
    <row r="16" customFormat="false" ht="22.35" hidden="false" customHeight="false" outlineLevel="0" collapsed="false">
      <c r="A16" s="25" t="s">
        <v>235</v>
      </c>
      <c r="B16" s="60" t="n">
        <v>600</v>
      </c>
      <c r="C16" s="25" t="s">
        <v>96</v>
      </c>
      <c r="D16" s="27" t="s">
        <v>236</v>
      </c>
    </row>
    <row r="17" customFormat="false" ht="22.35" hidden="false" customHeight="false" outlineLevel="0" collapsed="false">
      <c r="A17" s="25" t="s">
        <v>237</v>
      </c>
      <c r="B17" s="45" t="n">
        <v>0.35</v>
      </c>
      <c r="C17" s="25" t="s">
        <v>70</v>
      </c>
      <c r="D17" s="27" t="s">
        <v>238</v>
      </c>
    </row>
    <row r="18" customFormat="false" ht="22.35" hidden="false" customHeight="false" outlineLevel="0" collapsed="false">
      <c r="A18" s="25" t="s">
        <v>239</v>
      </c>
      <c r="B18" s="17" t="n">
        <v>950</v>
      </c>
      <c r="C18" s="25" t="s">
        <v>240</v>
      </c>
      <c r="D18" s="27" t="s">
        <v>241</v>
      </c>
    </row>
    <row r="19" customFormat="false" ht="15" hidden="false" customHeight="false" outlineLevel="0" collapsed="false">
      <c r="A19" s="25" t="s">
        <v>242</v>
      </c>
      <c r="B19" s="11" t="n">
        <f aca="false">Параметры!$B$9</f>
        <v>0.19</v>
      </c>
      <c r="C19" s="25" t="s">
        <v>70</v>
      </c>
      <c r="D19" s="27" t="s">
        <v>132</v>
      </c>
    </row>
    <row r="20" customFormat="false" ht="15" hidden="false" customHeight="false" outlineLevel="0" collapsed="false">
      <c r="A20" s="25" t="s">
        <v>138</v>
      </c>
      <c r="B20" s="11" t="n">
        <f aca="false">Параметры!$B$15</f>
        <v>0.5</v>
      </c>
      <c r="C20" s="25" t="s">
        <v>70</v>
      </c>
      <c r="D20" s="27" t="s">
        <v>132</v>
      </c>
    </row>
    <row r="21" customFormat="false" ht="15" hidden="false" customHeight="false" outlineLevel="0" collapsed="false">
      <c r="A21" s="25" t="s">
        <v>92</v>
      </c>
      <c r="B21" s="48" t="n">
        <f aca="false">Параметры!$B$16</f>
        <v>5</v>
      </c>
      <c r="C21" s="25" t="s">
        <v>93</v>
      </c>
      <c r="D21" s="27" t="s">
        <v>132</v>
      </c>
    </row>
    <row r="22" customFormat="false" ht="22.35" hidden="false" customHeight="false" outlineLevel="0" collapsed="false">
      <c r="A22" s="25" t="s">
        <v>243</v>
      </c>
      <c r="B22" s="49" t="n">
        <v>7</v>
      </c>
      <c r="C22" s="25" t="s">
        <v>101</v>
      </c>
      <c r="D22" s="27" t="s">
        <v>244</v>
      </c>
    </row>
    <row r="23" customFormat="false" ht="15" hidden="false" customHeight="false" outlineLevel="0" collapsed="false">
      <c r="A23" s="25" t="s">
        <v>141</v>
      </c>
      <c r="B23" s="43" t="n">
        <v>0.1</v>
      </c>
      <c r="C23" s="25" t="s">
        <v>70</v>
      </c>
      <c r="D23" s="27" t="s">
        <v>245</v>
      </c>
    </row>
    <row r="25" customFormat="false" ht="15" hidden="false" customHeight="false" outlineLevel="0" collapsed="false">
      <c r="A25" s="40" t="s">
        <v>143</v>
      </c>
      <c r="B25" s="41"/>
      <c r="C25" s="41"/>
      <c r="D25" s="41"/>
    </row>
    <row r="26" customFormat="false" ht="15" hidden="false" customHeight="false" outlineLevel="0" collapsed="false">
      <c r="A26" s="25" t="s">
        <v>246</v>
      </c>
      <c r="B26" s="50" t="n">
        <f aca="false">$B$8*$B$9*$B$12/1000000</f>
        <v>823.65</v>
      </c>
      <c r="C26" s="25" t="s">
        <v>96</v>
      </c>
      <c r="D26" s="27"/>
    </row>
    <row r="27" customFormat="false" ht="15" hidden="false" customHeight="false" outlineLevel="0" collapsed="false">
      <c r="A27" s="25" t="s">
        <v>247</v>
      </c>
      <c r="B27" s="50" t="n">
        <f aca="false">($B$8*($B$9-$B$10)-$B$11*$B$8*$B$9)*$B$12/1000000</f>
        <v>557.481</v>
      </c>
      <c r="C27" s="25" t="s">
        <v>96</v>
      </c>
      <c r="D27" s="27"/>
    </row>
    <row r="28" customFormat="false" ht="15" hidden="false" customHeight="false" outlineLevel="0" collapsed="false">
      <c r="A28" s="25" t="s">
        <v>248</v>
      </c>
      <c r="B28" s="50" t="n">
        <f aca="false">$B$27-$B$13</f>
        <v>557.481</v>
      </c>
      <c r="C28" s="25" t="s">
        <v>96</v>
      </c>
      <c r="D28" s="27"/>
    </row>
    <row r="29" customFormat="false" ht="15" hidden="false" customHeight="false" outlineLevel="0" collapsed="false">
      <c r="A29" s="25" t="s">
        <v>249</v>
      </c>
      <c r="B29" s="50" t="n">
        <f aca="false">$B$28*$B$15</f>
        <v>2508.6645</v>
      </c>
      <c r="C29" s="25" t="s">
        <v>96</v>
      </c>
      <c r="D29" s="27"/>
    </row>
    <row r="30" customFormat="false" ht="15" hidden="false" customHeight="false" outlineLevel="0" collapsed="false">
      <c r="A30" s="25" t="s">
        <v>250</v>
      </c>
      <c r="B30" s="50" t="n">
        <f aca="false">$B$29-$B$16-$B$14</f>
        <v>1883.6645</v>
      </c>
      <c r="C30" s="25" t="s">
        <v>96</v>
      </c>
      <c r="D30" s="27"/>
    </row>
    <row r="31" customFormat="false" ht="15" hidden="false" customHeight="false" outlineLevel="0" collapsed="false">
      <c r="A31" s="25" t="s">
        <v>251</v>
      </c>
      <c r="B31" s="50" t="n">
        <f aca="false">$B$30*(1-$B$17)</f>
        <v>1224.381925</v>
      </c>
      <c r="C31" s="25" t="s">
        <v>96</v>
      </c>
      <c r="D31" s="27"/>
    </row>
    <row r="32" customFormat="false" ht="15" hidden="false" customHeight="false" outlineLevel="0" collapsed="false">
      <c r="A32" s="25" t="s">
        <v>155</v>
      </c>
      <c r="B32" s="12" t="n">
        <f aca="false">IF($B$18&gt;0,$B$31*1000/$B$18,0)</f>
        <v>1288.82307894737</v>
      </c>
      <c r="C32" s="25" t="s">
        <v>85</v>
      </c>
      <c r="D32" s="27"/>
    </row>
    <row r="33" customFormat="false" ht="15" hidden="false" customHeight="false" outlineLevel="0" collapsed="false">
      <c r="A33" s="25" t="s">
        <v>156</v>
      </c>
      <c r="B33" s="12" t="n">
        <f aca="false">((($B$8*($B$9-$B$10)-$B$11*$B$8*$B$9)*$B$12/1000000-$B$13)*$B$22-$B$16-$B$14)*(1-$B$17)*1000/$B$18</f>
        <v>2242.409</v>
      </c>
      <c r="C33" s="25" t="s">
        <v>85</v>
      </c>
      <c r="D33" s="27" t="s">
        <v>252</v>
      </c>
    </row>
    <row r="34" customFormat="false" ht="15" hidden="false" customHeight="false" outlineLevel="0" collapsed="false">
      <c r="A34" s="25" t="s">
        <v>158</v>
      </c>
      <c r="B34" s="12" t="n">
        <f aca="false">$B$20*($B$33-$B$32)*((1+$B$23)/(1+$B$19))^$B$21</f>
        <v>321.779560071333</v>
      </c>
      <c r="C34" s="25" t="s">
        <v>85</v>
      </c>
      <c r="D34" s="27" t="s">
        <v>159</v>
      </c>
    </row>
    <row r="35" customFormat="false" ht="15" hidden="false" customHeight="false" outlineLevel="0" collapsed="false">
      <c r="A35" s="25" t="s">
        <v>160</v>
      </c>
      <c r="B35" s="12" t="n">
        <f aca="false">$B$32+$B$34</f>
        <v>1610.6026390187</v>
      </c>
      <c r="C35" s="25" t="s">
        <v>85</v>
      </c>
      <c r="D35" s="27"/>
    </row>
    <row r="37" customFormat="false" ht="15" hidden="false" customHeight="false" outlineLevel="0" collapsed="false">
      <c r="A37" s="40" t="s">
        <v>161</v>
      </c>
      <c r="B37" s="41"/>
      <c r="C37" s="41"/>
      <c r="D37" s="41"/>
    </row>
    <row r="38" customFormat="false" ht="15" hidden="false" customHeight="false" outlineLevel="0" collapsed="false">
      <c r="A38" s="13" t="s">
        <v>162</v>
      </c>
      <c r="B38" s="51" t="n">
        <f aca="false">$B$35</f>
        <v>1610.6026390187</v>
      </c>
      <c r="C38" s="25" t="s">
        <v>85</v>
      </c>
      <c r="D38" s="2" t="s">
        <v>163</v>
      </c>
    </row>
    <row r="39" customFormat="false" ht="15" hidden="false" customHeight="false" outlineLevel="0" collapsed="false">
      <c r="A39" s="25" t="s">
        <v>164</v>
      </c>
      <c r="B39" s="7" t="n">
        <f aca="false">Сводка!$D$6</f>
        <v>1098.2</v>
      </c>
      <c r="C39" s="25" t="s">
        <v>85</v>
      </c>
      <c r="D39" s="2" t="s">
        <v>165</v>
      </c>
    </row>
    <row r="40" customFormat="false" ht="15" hidden="false" customHeight="false" outlineLevel="0" collapsed="false">
      <c r="A40" s="25" t="s">
        <v>166</v>
      </c>
      <c r="B40" s="52" t="n">
        <f aca="false">$B$38*(1-Параметры!$B$10)</f>
        <v>1240.1640320444</v>
      </c>
      <c r="C40" s="25" t="s">
        <v>85</v>
      </c>
      <c r="D40" s="2" t="s">
        <v>167</v>
      </c>
    </row>
    <row r="41" customFormat="false" ht="15" hidden="false" customHeight="false" outlineLevel="0" collapsed="false">
      <c r="A41" s="25" t="s">
        <v>168</v>
      </c>
      <c r="B41" s="52" t="n">
        <f aca="false">$B$38*(1+Параметры!$B$11)</f>
        <v>1900.51111404207</v>
      </c>
      <c r="C41" s="25" t="s">
        <v>85</v>
      </c>
      <c r="D41" s="2" t="s">
        <v>169</v>
      </c>
    </row>
    <row r="42" customFormat="false" ht="15" hidden="false" customHeight="false" outlineLevel="0" collapsed="false">
      <c r="A42" s="25" t="s">
        <v>170</v>
      </c>
      <c r="B42" s="7" t="n">
        <f aca="false">$B$41*(1-Параметры!$B$12)</f>
        <v>1805.48555833996</v>
      </c>
      <c r="C42" s="25" t="s">
        <v>85</v>
      </c>
      <c r="D42" s="2" t="s">
        <v>171</v>
      </c>
    </row>
    <row r="43" customFormat="false" ht="15" hidden="false" customHeight="false" outlineLevel="0" collapsed="false">
      <c r="A43" s="25" t="s">
        <v>172</v>
      </c>
      <c r="B43" s="8" t="n">
        <f aca="false">IF($B$39&gt;0,$B$38/$B$39-1,0)</f>
        <v>0.466584082151431</v>
      </c>
      <c r="C43" s="25" t="s">
        <v>70</v>
      </c>
      <c r="D43" s="2"/>
    </row>
    <row r="44" customFormat="false" ht="15" hidden="false" customHeight="false" outlineLevel="0" collapsed="false">
      <c r="A44" s="25" t="s">
        <v>173</v>
      </c>
      <c r="B44" s="8" t="n">
        <f aca="false">IF($B$39&gt;0,$B$41/$B$39-1,0)</f>
        <v>0.730569216938688</v>
      </c>
      <c r="C44" s="25" t="s">
        <v>70</v>
      </c>
      <c r="D44" s="2"/>
    </row>
    <row r="45" customFormat="false" ht="15" hidden="false" customHeight="false" outlineLevel="0" collapsed="false">
      <c r="A45" s="13" t="s">
        <v>11</v>
      </c>
      <c r="B45" s="4" t="str">
        <f aca="false">IF($B$39&lt;=$B$40,"ЗОНА ПОКУПКИ",IF($B$39&gt;=$B$41,"ЦЕНА ПРОДАЖИ",IF($B$39&gt;=$B$42,"ПРИБЛИЖАЕТСЯ К ПРОДАЖЕ","ДЕРЖАТЬ")))</f>
        <v>ЗОНА ПОКУПКИ</v>
      </c>
      <c r="C45" s="25"/>
      <c r="D45" s="2" t="s">
        <v>174</v>
      </c>
    </row>
    <row r="47" customFormat="false" ht="15" hidden="false" customHeight="false" outlineLevel="0" collapsed="false">
      <c r="A47" s="40" t="s">
        <v>175</v>
      </c>
      <c r="B47" s="41"/>
      <c r="C47" s="41"/>
      <c r="D47" s="41"/>
    </row>
    <row r="48" customFormat="false" ht="15" hidden="false" customHeight="false" outlineLevel="0" collapsed="false">
      <c r="A48" s="25" t="s">
        <v>253</v>
      </c>
      <c r="B48" s="53" t="n">
        <f aca="false">IF($B$28&gt;0,($B$39*$B$18/1000+$B$16)/$B$28,0)</f>
        <v>2.94770584109593</v>
      </c>
      <c r="C48" s="25" t="s">
        <v>101</v>
      </c>
      <c r="D48" s="27" t="s">
        <v>254</v>
      </c>
    </row>
    <row r="49" customFormat="false" ht="15" hidden="false" customHeight="false" outlineLevel="0" collapsed="false">
      <c r="A49" s="25" t="s">
        <v>255</v>
      </c>
      <c r="B49" s="53" t="n">
        <f aca="false">IF($B$28&gt;0,$B$16/$B$28,0)</f>
        <v>1.07626986390568</v>
      </c>
      <c r="C49" s="25" t="s">
        <v>101</v>
      </c>
      <c r="D49" s="27"/>
    </row>
    <row r="50" customFormat="false" ht="15" hidden="false" customHeight="false" outlineLevel="0" collapsed="false">
      <c r="A50" s="25" t="s">
        <v>256</v>
      </c>
      <c r="B50" s="50" t="n">
        <f aca="false">517.8</f>
        <v>517.8</v>
      </c>
      <c r="C50" s="25" t="s">
        <v>96</v>
      </c>
      <c r="D50" s="27" t="s">
        <v>257</v>
      </c>
    </row>
    <row r="51" customFormat="false" ht="15" hidden="false" customHeight="false" outlineLevel="0" collapsed="false">
      <c r="A51" s="25" t="s">
        <v>258</v>
      </c>
      <c r="B51" s="12" t="n">
        <f aca="false">1510</f>
        <v>1510</v>
      </c>
      <c r="C51" s="25" t="s">
        <v>85</v>
      </c>
      <c r="D51" s="27" t="s">
        <v>259</v>
      </c>
    </row>
    <row r="53" customFormat="false" ht="15" hidden="false" customHeight="false" outlineLevel="0" collapsed="false">
      <c r="A53" s="40" t="s">
        <v>260</v>
      </c>
      <c r="B53" s="41"/>
      <c r="C53" s="41"/>
      <c r="D53" s="41"/>
      <c r="E53" s="41"/>
      <c r="F53" s="41"/>
      <c r="G53" s="41"/>
    </row>
    <row r="54" customFormat="false" ht="15" hidden="false" customHeight="false" outlineLevel="0" collapsed="false">
      <c r="A54" s="13" t="s">
        <v>261</v>
      </c>
      <c r="B54" s="61" t="n">
        <v>75</v>
      </c>
      <c r="C54" s="61" t="n">
        <v>80</v>
      </c>
      <c r="D54" s="61" t="n">
        <v>85</v>
      </c>
      <c r="E54" s="61" t="n">
        <v>90</v>
      </c>
      <c r="F54" s="61" t="n">
        <v>95</v>
      </c>
    </row>
    <row r="55" customFormat="false" ht="15" hidden="false" customHeight="false" outlineLevel="0" collapsed="false">
      <c r="A55" s="62" t="n">
        <v>3000</v>
      </c>
      <c r="B55" s="10" t="n">
        <f aca="false">(((($B$8*($A55-$B$10)-$B$11*$B$8*$A55)*B$54/1000000-$B$13)*$B$15-$B$16-$B$14)*(1-$B$17)*1000/$B$18)+$B$20*((((($B$8*($A55-$B$10)-$B$11*$B$8*$A55)*B$54/1000000-$B$13)*$B$22-$B$16-$B$14)*(1-$B$17)*1000/$B$18)-(((($B$8*($A55-$B$10)-$B$11*$B$8*$A55)*B$54/1000000-$B$13)*$B$15-$B$16-$B$14)*(1-$B$17)*1000/$B$18))*((1+$B$23)/(1+$B$19))^$B$21</f>
        <v>844.982869650054</v>
      </c>
      <c r="C55" s="10" t="n">
        <f aca="false">(((($B$8*($A55-$B$10)-$B$11*$B$8*$A55)*C$54/1000000-$B$13)*$B$15-$B$16-$B$14)*(1-$B$17)*1000/$B$18)+$B$20*((((($B$8*($A55-$B$10)-$B$11*$B$8*$A55)*C$54/1000000-$B$13)*$B$22-$B$16-$B$14)*(1-$B$17)*1000/$B$18)-(((($B$8*($A55-$B$10)-$B$11*$B$8*$A55)*C$54/1000000-$B$13)*$B$15-$B$16-$B$14)*(1-$B$17)*1000/$B$18))*((1+$B$23)/(1+$B$19))^$B$21</f>
        <v>929.823832889882</v>
      </c>
      <c r="D55" s="10" t="n">
        <f aca="false">(((($B$8*($A55-$B$10)-$B$11*$B$8*$A55)*D$54/1000000-$B$13)*$B$15-$B$16-$B$14)*(1-$B$17)*1000/$B$18)+$B$20*((((($B$8*($A55-$B$10)-$B$11*$B$8*$A55)*D$54/1000000-$B$13)*$B$22-$B$16-$B$14)*(1-$B$17)*1000/$B$18)-(((($B$8*($A55-$B$10)-$B$11*$B$8*$A55)*D$54/1000000-$B$13)*$B$15-$B$16-$B$14)*(1-$B$17)*1000/$B$18))*((1+$B$23)/(1+$B$19))^$B$21</f>
        <v>1014.66479612971</v>
      </c>
      <c r="E55" s="10" t="n">
        <f aca="false">(((($B$8*($A55-$B$10)-$B$11*$B$8*$A55)*E$54/1000000-$B$13)*$B$15-$B$16-$B$14)*(1-$B$17)*1000/$B$18)+$B$20*((((($B$8*($A55-$B$10)-$B$11*$B$8*$A55)*E$54/1000000-$B$13)*$B$22-$B$16-$B$14)*(1-$B$17)*1000/$B$18)-(((($B$8*($A55-$B$10)-$B$11*$B$8*$A55)*E$54/1000000-$B$13)*$B$15-$B$16-$B$14)*(1-$B$17)*1000/$B$18))*((1+$B$23)/(1+$B$19))^$B$21</f>
        <v>1099.50575936954</v>
      </c>
      <c r="F55" s="10" t="n">
        <f aca="false">(((($B$8*($A55-$B$10)-$B$11*$B$8*$A55)*F$54/1000000-$B$13)*$B$15-$B$16-$B$14)*(1-$B$17)*1000/$B$18)+$B$20*((((($B$8*($A55-$B$10)-$B$11*$B$8*$A55)*F$54/1000000-$B$13)*$B$22-$B$16-$B$14)*(1-$B$17)*1000/$B$18)-(((($B$8*($A55-$B$10)-$B$11*$B$8*$A55)*F$54/1000000-$B$13)*$B$15-$B$16-$B$14)*(1-$B$17)*1000/$B$18))*((1+$B$23)/(1+$B$19))^$B$21</f>
        <v>1184.34672260937</v>
      </c>
    </row>
    <row r="56" customFormat="false" ht="15" hidden="false" customHeight="false" outlineLevel="0" collapsed="false">
      <c r="A56" s="62" t="n">
        <v>3400</v>
      </c>
      <c r="B56" s="10" t="n">
        <f aca="false">(((($B$8*($A56-$B$10)-$B$11*$B$8*$A56)*B$54/1000000-$B$13)*$B$15-$B$16-$B$14)*(1-$B$17)*1000/$B$18)+$B$20*((((($B$8*($A56-$B$10)-$B$11*$B$8*$A56)*B$54/1000000-$B$13)*$B$22-$B$16-$B$14)*(1-$B$17)*1000/$B$18)-(((($B$8*($A56-$B$10)-$B$11*$B$8*$A56)*B$54/1000000-$B$13)*$B$15-$B$16-$B$14)*(1-$B$17)*1000/$B$18))*((1+$B$23)/(1+$B$19))^$B$21</f>
        <v>1107.89662386579</v>
      </c>
      <c r="C56" s="10" t="n">
        <f aca="false">(((($B$8*($A56-$B$10)-$B$11*$B$8*$A56)*C$54/1000000-$B$13)*$B$15-$B$16-$B$14)*(1-$B$17)*1000/$B$18)+$B$20*((((($B$8*($A56-$B$10)-$B$11*$B$8*$A56)*C$54/1000000-$B$13)*$B$22-$B$16-$B$14)*(1-$B$17)*1000/$B$18)-(((($B$8*($A56-$B$10)-$B$11*$B$8*$A56)*C$54/1000000-$B$13)*$B$15-$B$16-$B$14)*(1-$B$17)*1000/$B$18))*((1+$B$23)/(1+$B$19))^$B$21</f>
        <v>1210.26517072</v>
      </c>
      <c r="D56" s="10" t="n">
        <f aca="false">(((($B$8*($A56-$B$10)-$B$11*$B$8*$A56)*D$54/1000000-$B$13)*$B$15-$B$16-$B$14)*(1-$B$17)*1000/$B$18)+$B$20*((((($B$8*($A56-$B$10)-$B$11*$B$8*$A56)*D$54/1000000-$B$13)*$B$22-$B$16-$B$14)*(1-$B$17)*1000/$B$18)-(((($B$8*($A56-$B$10)-$B$11*$B$8*$A56)*D$54/1000000-$B$13)*$B$15-$B$16-$B$14)*(1-$B$17)*1000/$B$18))*((1+$B$23)/(1+$B$19))^$B$21</f>
        <v>1312.63371757421</v>
      </c>
      <c r="E56" s="10" t="n">
        <f aca="false">(((($B$8*($A56-$B$10)-$B$11*$B$8*$A56)*E$54/1000000-$B$13)*$B$15-$B$16-$B$14)*(1-$B$17)*1000/$B$18)+$B$20*((((($B$8*($A56-$B$10)-$B$11*$B$8*$A56)*E$54/1000000-$B$13)*$B$22-$B$16-$B$14)*(1-$B$17)*1000/$B$18)-(((($B$8*($A56-$B$10)-$B$11*$B$8*$A56)*E$54/1000000-$B$13)*$B$15-$B$16-$B$14)*(1-$B$17)*1000/$B$18))*((1+$B$23)/(1+$B$19))^$B$21</f>
        <v>1415.00226442842</v>
      </c>
      <c r="F56" s="10" t="n">
        <f aca="false">(((($B$8*($A56-$B$10)-$B$11*$B$8*$A56)*F$54/1000000-$B$13)*$B$15-$B$16-$B$14)*(1-$B$17)*1000/$B$18)+$B$20*((((($B$8*($A56-$B$10)-$B$11*$B$8*$A56)*F$54/1000000-$B$13)*$B$22-$B$16-$B$14)*(1-$B$17)*1000/$B$18)-(((($B$8*($A56-$B$10)-$B$11*$B$8*$A56)*F$54/1000000-$B$13)*$B$15-$B$16-$B$14)*(1-$B$17)*1000/$B$18))*((1+$B$23)/(1+$B$19))^$B$21</f>
        <v>1517.37081128263</v>
      </c>
    </row>
    <row r="57" customFormat="false" ht="15" hidden="false" customHeight="false" outlineLevel="0" collapsed="false">
      <c r="A57" s="62" t="n">
        <v>3800</v>
      </c>
      <c r="B57" s="10" t="n">
        <f aca="false">(((($B$8*($A57-$B$10)-$B$11*$B$8*$A57)*B$54/1000000-$B$13)*$B$15-$B$16-$B$14)*(1-$B$17)*1000/$B$18)+$B$20*((((($B$8*($A57-$B$10)-$B$11*$B$8*$A57)*B$54/1000000-$B$13)*$B$22-$B$16-$B$14)*(1-$B$17)*1000/$B$18)-(((($B$8*($A57-$B$10)-$B$11*$B$8*$A57)*B$54/1000000-$B$13)*$B$15-$B$16-$B$14)*(1-$B$17)*1000/$B$18))*((1+$B$23)/(1+$B$19))^$B$21</f>
        <v>1370.81037808152</v>
      </c>
      <c r="C57" s="10" t="n">
        <f aca="false">(((($B$8*($A57-$B$10)-$B$11*$B$8*$A57)*C$54/1000000-$B$13)*$B$15-$B$16-$B$14)*(1-$B$17)*1000/$B$18)+$B$20*((((($B$8*($A57-$B$10)-$B$11*$B$8*$A57)*C$54/1000000-$B$13)*$B$22-$B$16-$B$14)*(1-$B$17)*1000/$B$18)-(((($B$8*($A57-$B$10)-$B$11*$B$8*$A57)*C$54/1000000-$B$13)*$B$15-$B$16-$B$14)*(1-$B$17)*1000/$B$18))*((1+$B$23)/(1+$B$19))^$B$21</f>
        <v>1490.70650855011</v>
      </c>
      <c r="D57" s="56" t="n">
        <f aca="false">(((($B$8*($A57-$B$10)-$B$11*$B$8*$A57)*D$54/1000000-$B$13)*$B$15-$B$16-$B$14)*(1-$B$17)*1000/$B$18)+$B$20*((((($B$8*($A57-$B$10)-$B$11*$B$8*$A57)*D$54/1000000-$B$13)*$B$22-$B$16-$B$14)*(1-$B$17)*1000/$B$18)-(((($B$8*($A57-$B$10)-$B$11*$B$8*$A57)*D$54/1000000-$B$13)*$B$15-$B$16-$B$14)*(1-$B$17)*1000/$B$18))*((1+$B$23)/(1+$B$19))^$B$21</f>
        <v>1610.6026390187</v>
      </c>
      <c r="E57" s="10" t="n">
        <f aca="false">(((($B$8*($A57-$B$10)-$B$11*$B$8*$A57)*E$54/1000000-$B$13)*$B$15-$B$16-$B$14)*(1-$B$17)*1000/$B$18)+$B$20*((((($B$8*($A57-$B$10)-$B$11*$B$8*$A57)*E$54/1000000-$B$13)*$B$22-$B$16-$B$14)*(1-$B$17)*1000/$B$18)-(((($B$8*($A57-$B$10)-$B$11*$B$8*$A57)*E$54/1000000-$B$13)*$B$15-$B$16-$B$14)*(1-$B$17)*1000/$B$18))*((1+$B$23)/(1+$B$19))^$B$21</f>
        <v>1730.49876948729</v>
      </c>
      <c r="F57" s="10" t="n">
        <f aca="false">(((($B$8*($A57-$B$10)-$B$11*$B$8*$A57)*F$54/1000000-$B$13)*$B$15-$B$16-$B$14)*(1-$B$17)*1000/$B$18)+$B$20*((((($B$8*($A57-$B$10)-$B$11*$B$8*$A57)*F$54/1000000-$B$13)*$B$22-$B$16-$B$14)*(1-$B$17)*1000/$B$18)-(((($B$8*($A57-$B$10)-$B$11*$B$8*$A57)*F$54/1000000-$B$13)*$B$15-$B$16-$B$14)*(1-$B$17)*1000/$B$18))*((1+$B$23)/(1+$B$19))^$B$21</f>
        <v>1850.39489995589</v>
      </c>
    </row>
    <row r="58" customFormat="false" ht="15" hidden="false" customHeight="false" outlineLevel="0" collapsed="false">
      <c r="A58" s="62" t="n">
        <v>4200</v>
      </c>
      <c r="B58" s="10" t="n">
        <f aca="false">(((($B$8*($A58-$B$10)-$B$11*$B$8*$A58)*B$54/1000000-$B$13)*$B$15-$B$16-$B$14)*(1-$B$17)*1000/$B$18)+$B$20*((((($B$8*($A58-$B$10)-$B$11*$B$8*$A58)*B$54/1000000-$B$13)*$B$22-$B$16-$B$14)*(1-$B$17)*1000/$B$18)-(((($B$8*($A58-$B$10)-$B$11*$B$8*$A58)*B$54/1000000-$B$13)*$B$15-$B$16-$B$14)*(1-$B$17)*1000/$B$18))*((1+$B$23)/(1+$B$19))^$B$21</f>
        <v>1633.72413229725</v>
      </c>
      <c r="C58" s="10" t="n">
        <f aca="false">(((($B$8*($A58-$B$10)-$B$11*$B$8*$A58)*C$54/1000000-$B$13)*$B$15-$B$16-$B$14)*(1-$B$17)*1000/$B$18)+$B$20*((((($B$8*($A58-$B$10)-$B$11*$B$8*$A58)*C$54/1000000-$B$13)*$B$22-$B$16-$B$14)*(1-$B$17)*1000/$B$18)-(((($B$8*($A58-$B$10)-$B$11*$B$8*$A58)*C$54/1000000-$B$13)*$B$15-$B$16-$B$14)*(1-$B$17)*1000/$B$18))*((1+$B$23)/(1+$B$19))^$B$21</f>
        <v>1771.14784638022</v>
      </c>
      <c r="D58" s="10" t="n">
        <f aca="false">(((($B$8*($A58-$B$10)-$B$11*$B$8*$A58)*D$54/1000000-$B$13)*$B$15-$B$16-$B$14)*(1-$B$17)*1000/$B$18)+$B$20*((((($B$8*($A58-$B$10)-$B$11*$B$8*$A58)*D$54/1000000-$B$13)*$B$22-$B$16-$B$14)*(1-$B$17)*1000/$B$18)-(((($B$8*($A58-$B$10)-$B$11*$B$8*$A58)*D$54/1000000-$B$13)*$B$15-$B$16-$B$14)*(1-$B$17)*1000/$B$18))*((1+$B$23)/(1+$B$19))^$B$21</f>
        <v>1908.5715604632</v>
      </c>
      <c r="E58" s="10" t="n">
        <f aca="false">(((($B$8*($A58-$B$10)-$B$11*$B$8*$A58)*E$54/1000000-$B$13)*$B$15-$B$16-$B$14)*(1-$B$17)*1000/$B$18)+$B$20*((((($B$8*($A58-$B$10)-$B$11*$B$8*$A58)*E$54/1000000-$B$13)*$B$22-$B$16-$B$14)*(1-$B$17)*1000/$B$18)-(((($B$8*($A58-$B$10)-$B$11*$B$8*$A58)*E$54/1000000-$B$13)*$B$15-$B$16-$B$14)*(1-$B$17)*1000/$B$18))*((1+$B$23)/(1+$B$19))^$B$21</f>
        <v>2045.99527454617</v>
      </c>
      <c r="F58" s="10" t="n">
        <f aca="false">(((($B$8*($A58-$B$10)-$B$11*$B$8*$A58)*F$54/1000000-$B$13)*$B$15-$B$16-$B$14)*(1-$B$17)*1000/$B$18)+$B$20*((((($B$8*($A58-$B$10)-$B$11*$B$8*$A58)*F$54/1000000-$B$13)*$B$22-$B$16-$B$14)*(1-$B$17)*1000/$B$18)-(((($B$8*($A58-$B$10)-$B$11*$B$8*$A58)*F$54/1000000-$B$13)*$B$15-$B$16-$B$14)*(1-$B$17)*1000/$B$18))*((1+$B$23)/(1+$B$19))^$B$21</f>
        <v>2183.41898862915</v>
      </c>
    </row>
    <row r="59" customFormat="false" ht="15" hidden="false" customHeight="false" outlineLevel="0" collapsed="false">
      <c r="A59" s="62" t="n">
        <v>4600</v>
      </c>
      <c r="B59" s="10" t="n">
        <f aca="false">(((($B$8*($A59-$B$10)-$B$11*$B$8*$A59)*B$54/1000000-$B$13)*$B$15-$B$16-$B$14)*(1-$B$17)*1000/$B$18)+$B$20*((((($B$8*($A59-$B$10)-$B$11*$B$8*$A59)*B$54/1000000-$B$13)*$B$22-$B$16-$B$14)*(1-$B$17)*1000/$B$18)-(((($B$8*($A59-$B$10)-$B$11*$B$8*$A59)*B$54/1000000-$B$13)*$B$15-$B$16-$B$14)*(1-$B$17)*1000/$B$18))*((1+$B$23)/(1+$B$19))^$B$21</f>
        <v>1896.63788651298</v>
      </c>
      <c r="C59" s="10" t="n">
        <f aca="false">(((($B$8*($A59-$B$10)-$B$11*$B$8*$A59)*C$54/1000000-$B$13)*$B$15-$B$16-$B$14)*(1-$B$17)*1000/$B$18)+$B$20*((((($B$8*($A59-$B$10)-$B$11*$B$8*$A59)*C$54/1000000-$B$13)*$B$22-$B$16-$B$14)*(1-$B$17)*1000/$B$18)-(((($B$8*($A59-$B$10)-$B$11*$B$8*$A59)*C$54/1000000-$B$13)*$B$15-$B$16-$B$14)*(1-$B$17)*1000/$B$18))*((1+$B$23)/(1+$B$19))^$B$21</f>
        <v>2051.58918421034</v>
      </c>
      <c r="D59" s="10" t="n">
        <f aca="false">(((($B$8*($A59-$B$10)-$B$11*$B$8*$A59)*D$54/1000000-$B$13)*$B$15-$B$16-$B$14)*(1-$B$17)*1000/$B$18)+$B$20*((((($B$8*($A59-$B$10)-$B$11*$B$8*$A59)*D$54/1000000-$B$13)*$B$22-$B$16-$B$14)*(1-$B$17)*1000/$B$18)-(((($B$8*($A59-$B$10)-$B$11*$B$8*$A59)*D$54/1000000-$B$13)*$B$15-$B$16-$B$14)*(1-$B$17)*1000/$B$18))*((1+$B$23)/(1+$B$19))^$B$21</f>
        <v>2206.54048190769</v>
      </c>
      <c r="E59" s="10" t="n">
        <f aca="false">(((($B$8*($A59-$B$10)-$B$11*$B$8*$A59)*E$54/1000000-$B$13)*$B$15-$B$16-$B$14)*(1-$B$17)*1000/$B$18)+$B$20*((((($B$8*($A59-$B$10)-$B$11*$B$8*$A59)*E$54/1000000-$B$13)*$B$22-$B$16-$B$14)*(1-$B$17)*1000/$B$18)-(((($B$8*($A59-$B$10)-$B$11*$B$8*$A59)*E$54/1000000-$B$13)*$B$15-$B$16-$B$14)*(1-$B$17)*1000/$B$18))*((1+$B$23)/(1+$B$19))^$B$21</f>
        <v>2361.49177960505</v>
      </c>
      <c r="F59" s="10" t="n">
        <f aca="false">(((($B$8*($A59-$B$10)-$B$11*$B$8*$A59)*F$54/1000000-$B$13)*$B$15-$B$16-$B$14)*(1-$B$17)*1000/$B$18)+$B$20*((((($B$8*($A59-$B$10)-$B$11*$B$8*$A59)*F$54/1000000-$B$13)*$B$22-$B$16-$B$14)*(1-$B$17)*1000/$B$18)-(((($B$8*($A59-$B$10)-$B$11*$B$8*$A59)*F$54/1000000-$B$13)*$B$15-$B$16-$B$14)*(1-$B$17)*1000/$B$18))*((1+$B$23)/(1+$B$19))^$B$21</f>
        <v>2516.44307730241</v>
      </c>
    </row>
    <row r="60" customFormat="false" ht="15" hidden="false" customHeight="false" outlineLevel="0" collapsed="false">
      <c r="A60" s="2" t="s">
        <v>192</v>
      </c>
    </row>
    <row r="62" customFormat="false" ht="15" hidden="false" customHeight="false" outlineLevel="0" collapsed="false">
      <c r="A62" s="40" t="s">
        <v>195</v>
      </c>
      <c r="B62" s="41"/>
      <c r="C62" s="41"/>
      <c r="D62" s="41"/>
    </row>
    <row r="63" customFormat="false" ht="43.5" hidden="false" customHeight="true" outlineLevel="0" collapsed="false">
      <c r="A63" s="57" t="s">
        <v>262</v>
      </c>
      <c r="B63" s="57"/>
      <c r="C63" s="57"/>
      <c r="D63" s="57"/>
    </row>
    <row r="64" customFormat="false" ht="15" hidden="false" customHeight="false" outlineLevel="0" collapsed="false">
      <c r="A64" s="58" t="s">
        <v>263</v>
      </c>
      <c r="B64" s="58"/>
      <c r="C64" s="58"/>
      <c r="D64" s="58"/>
    </row>
    <row r="65" customFormat="false" ht="15" hidden="false" customHeight="false" outlineLevel="0" collapsed="false">
      <c r="A65" s="58" t="s">
        <v>264</v>
      </c>
      <c r="B65" s="58"/>
      <c r="C65" s="58"/>
      <c r="D65" s="58"/>
    </row>
    <row r="66" customFormat="false" ht="15" hidden="false" customHeight="false" outlineLevel="0" collapsed="false">
      <c r="A66" s="58" t="s">
        <v>265</v>
      </c>
      <c r="B66" s="58"/>
      <c r="C66" s="58"/>
      <c r="D66" s="58"/>
    </row>
    <row r="67" customFormat="false" ht="15" hidden="false" customHeight="false" outlineLevel="0" collapsed="false">
      <c r="A67" s="58" t="s">
        <v>266</v>
      </c>
      <c r="B67" s="58"/>
      <c r="C67" s="58"/>
      <c r="D67" s="58"/>
    </row>
    <row r="69" customFormat="false" ht="15" hidden="false" customHeight="false" outlineLevel="0" collapsed="false">
      <c r="A69" s="40" t="s">
        <v>201</v>
      </c>
      <c r="B69" s="41"/>
      <c r="C69" s="41"/>
      <c r="D69" s="41"/>
    </row>
    <row r="70" customFormat="false" ht="15" hidden="false" customHeight="false" outlineLevel="0" collapsed="false">
      <c r="A70" s="58" t="s">
        <v>267</v>
      </c>
      <c r="B70" s="58"/>
      <c r="C70" s="58"/>
      <c r="D70" s="58"/>
    </row>
    <row r="71" customFormat="false" ht="15" hidden="false" customHeight="false" outlineLevel="0" collapsed="false">
      <c r="A71" s="58" t="s">
        <v>268</v>
      </c>
      <c r="B71" s="58"/>
      <c r="C71" s="58"/>
      <c r="D71" s="58"/>
    </row>
    <row r="72" customFormat="false" ht="15" hidden="false" customHeight="false" outlineLevel="0" collapsed="false">
      <c r="A72" s="58" t="s">
        <v>269</v>
      </c>
      <c r="B72" s="58"/>
      <c r="C72" s="58"/>
      <c r="D72" s="58"/>
    </row>
    <row r="73" customFormat="false" ht="15" hidden="false" customHeight="false" outlineLevel="0" collapsed="false">
      <c r="A73" s="58" t="s">
        <v>270</v>
      </c>
      <c r="B73" s="58"/>
      <c r="C73" s="58"/>
      <c r="D73" s="58"/>
    </row>
    <row r="75" customFormat="false" ht="15" hidden="false" customHeight="false" outlineLevel="0" collapsed="false">
      <c r="A75" s="40" t="s">
        <v>207</v>
      </c>
      <c r="B75" s="41"/>
      <c r="C75" s="41"/>
      <c r="D75" s="41"/>
    </row>
    <row r="76" customFormat="false" ht="15" hidden="false" customHeight="false" outlineLevel="0" collapsed="false">
      <c r="A76" s="16" t="s">
        <v>271</v>
      </c>
      <c r="B76" s="16"/>
      <c r="C76" s="16"/>
      <c r="D76" s="16"/>
    </row>
    <row r="77" customFormat="false" ht="15" hidden="false" customHeight="false" outlineLevel="0" collapsed="false">
      <c r="A77" s="16" t="s">
        <v>272</v>
      </c>
      <c r="B77" s="16"/>
      <c r="C77" s="16"/>
      <c r="D77" s="16"/>
    </row>
    <row r="78" customFormat="false" ht="15" hidden="false" customHeight="false" outlineLevel="0" collapsed="false">
      <c r="A78" s="16" t="s">
        <v>273</v>
      </c>
      <c r="B78" s="16"/>
      <c r="C78" s="16"/>
      <c r="D78" s="16"/>
    </row>
    <row r="79" customFormat="false" ht="15" hidden="false" customHeight="false" outlineLevel="0" collapsed="false">
      <c r="A79" s="16" t="s">
        <v>274</v>
      </c>
      <c r="B79" s="16"/>
      <c r="C79" s="16"/>
      <c r="D79" s="16"/>
    </row>
    <row r="80" customFormat="false" ht="15" hidden="false" customHeight="false" outlineLevel="0" collapsed="false">
      <c r="A80" s="16" t="s">
        <v>275</v>
      </c>
      <c r="B80" s="16"/>
      <c r="C80" s="16"/>
      <c r="D80" s="16"/>
    </row>
    <row r="81" customFormat="false" ht="15" hidden="false" customHeight="false" outlineLevel="0" collapsed="false">
      <c r="A81" s="16" t="s">
        <v>276</v>
      </c>
      <c r="B81" s="16"/>
      <c r="C81" s="16"/>
      <c r="D81" s="16"/>
    </row>
  </sheetData>
  <mergeCells count="16">
    <mergeCell ref="A3:D3"/>
    <mergeCell ref="A63:D63"/>
    <mergeCell ref="A64:D64"/>
    <mergeCell ref="A65:D65"/>
    <mergeCell ref="A66:D66"/>
    <mergeCell ref="A67:D67"/>
    <mergeCell ref="A70:D70"/>
    <mergeCell ref="A71:D71"/>
    <mergeCell ref="A72:D72"/>
    <mergeCell ref="A73:D73"/>
    <mergeCell ref="A76:D76"/>
    <mergeCell ref="A77:D77"/>
    <mergeCell ref="A78:D78"/>
    <mergeCell ref="A79:D79"/>
    <mergeCell ref="A80:D80"/>
    <mergeCell ref="A81:D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80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1" t="s">
        <v>277</v>
      </c>
    </row>
    <row r="2" customFormat="false" ht="15" hidden="false" customHeight="false" outlineLevel="0" collapsed="false">
      <c r="A2" s="13" t="s">
        <v>278</v>
      </c>
    </row>
    <row r="3" customFormat="false" ht="42" hidden="false" customHeight="true" outlineLevel="0" collapsed="false">
      <c r="A3" s="39" t="s">
        <v>279</v>
      </c>
      <c r="B3" s="39"/>
      <c r="C3" s="39"/>
      <c r="D3" s="39"/>
    </row>
    <row r="4" customFormat="false" ht="15" hidden="false" customHeight="false" outlineLevel="0" collapsed="false">
      <c r="A4" s="2" t="s">
        <v>116</v>
      </c>
    </row>
    <row r="6" customFormat="false" ht="15" hidden="false" customHeight="false" outlineLevel="0" collapsed="false">
      <c r="A6" s="24" t="s">
        <v>117</v>
      </c>
      <c r="B6" s="24" t="s">
        <v>64</v>
      </c>
      <c r="C6" s="24" t="s">
        <v>65</v>
      </c>
      <c r="D6" s="24" t="s">
        <v>66</v>
      </c>
    </row>
    <row r="7" customFormat="false" ht="15" hidden="false" customHeight="false" outlineLevel="0" collapsed="false">
      <c r="A7" s="40" t="s">
        <v>118</v>
      </c>
      <c r="B7" s="41"/>
      <c r="C7" s="41"/>
      <c r="D7" s="41"/>
    </row>
    <row r="8" customFormat="false" ht="32.8" hidden="false" customHeight="false" outlineLevel="0" collapsed="false">
      <c r="A8" s="25" t="s">
        <v>280</v>
      </c>
      <c r="B8" s="60" t="n">
        <v>41</v>
      </c>
      <c r="C8" s="25" t="s">
        <v>96</v>
      </c>
      <c r="D8" s="27" t="s">
        <v>281</v>
      </c>
    </row>
    <row r="9" customFormat="false" ht="22.35" hidden="false" customHeight="false" outlineLevel="0" collapsed="false">
      <c r="A9" s="25" t="s">
        <v>282</v>
      </c>
      <c r="B9" s="45" t="n">
        <v>0.2</v>
      </c>
      <c r="C9" s="25" t="s">
        <v>70</v>
      </c>
      <c r="D9" s="27" t="s">
        <v>283</v>
      </c>
    </row>
    <row r="10" customFormat="false" ht="22.35" hidden="false" customHeight="false" outlineLevel="0" collapsed="false">
      <c r="A10" s="25" t="s">
        <v>284</v>
      </c>
      <c r="B10" s="45" t="n">
        <v>0.2</v>
      </c>
      <c r="C10" s="25" t="s">
        <v>70</v>
      </c>
      <c r="D10" s="27" t="s">
        <v>285</v>
      </c>
    </row>
    <row r="11" customFormat="false" ht="22.35" hidden="false" customHeight="false" outlineLevel="0" collapsed="false">
      <c r="A11" s="25" t="s">
        <v>286</v>
      </c>
      <c r="B11" s="49" t="n">
        <v>10</v>
      </c>
      <c r="C11" s="25" t="s">
        <v>101</v>
      </c>
      <c r="D11" s="27" t="s">
        <v>287</v>
      </c>
    </row>
    <row r="12" customFormat="false" ht="15" hidden="false" customHeight="false" outlineLevel="0" collapsed="false">
      <c r="A12" s="25" t="s">
        <v>239</v>
      </c>
      <c r="B12" s="44" t="n">
        <v>71.214</v>
      </c>
      <c r="C12" s="25" t="s">
        <v>240</v>
      </c>
      <c r="D12" s="27" t="s">
        <v>288</v>
      </c>
    </row>
    <row r="13" customFormat="false" ht="15" hidden="false" customHeight="false" outlineLevel="0" collapsed="false">
      <c r="A13" s="25" t="s">
        <v>289</v>
      </c>
      <c r="B13" s="60" t="n">
        <v>12.5</v>
      </c>
      <c r="C13" s="25" t="s">
        <v>96</v>
      </c>
      <c r="D13" s="27" t="s">
        <v>290</v>
      </c>
    </row>
    <row r="14" customFormat="false" ht="15" hidden="false" customHeight="false" outlineLevel="0" collapsed="false">
      <c r="A14" s="25" t="s">
        <v>242</v>
      </c>
      <c r="B14" s="11" t="n">
        <f aca="false">Параметры!$B$9</f>
        <v>0.19</v>
      </c>
      <c r="C14" s="25" t="s">
        <v>70</v>
      </c>
      <c r="D14" s="27" t="s">
        <v>132</v>
      </c>
    </row>
    <row r="15" customFormat="false" ht="15" hidden="false" customHeight="false" outlineLevel="0" collapsed="false">
      <c r="A15" s="25" t="s">
        <v>138</v>
      </c>
      <c r="B15" s="11" t="n">
        <f aca="false">Параметры!$B$15</f>
        <v>0.5</v>
      </c>
      <c r="C15" s="25" t="s">
        <v>70</v>
      </c>
      <c r="D15" s="27" t="s">
        <v>132</v>
      </c>
    </row>
    <row r="16" customFormat="false" ht="15" hidden="false" customHeight="false" outlineLevel="0" collapsed="false">
      <c r="A16" s="25" t="s">
        <v>92</v>
      </c>
      <c r="B16" s="48" t="n">
        <f aca="false">Параметры!$B$16</f>
        <v>5</v>
      </c>
      <c r="C16" s="25" t="s">
        <v>93</v>
      </c>
      <c r="D16" s="27" t="s">
        <v>132</v>
      </c>
    </row>
    <row r="17" customFormat="false" ht="22.35" hidden="false" customHeight="false" outlineLevel="0" collapsed="false">
      <c r="A17" s="25" t="s">
        <v>291</v>
      </c>
      <c r="B17" s="49" t="n">
        <v>15</v>
      </c>
      <c r="C17" s="25" t="s">
        <v>101</v>
      </c>
      <c r="D17" s="27" t="s">
        <v>292</v>
      </c>
    </row>
    <row r="18" customFormat="false" ht="15" hidden="false" customHeight="false" outlineLevel="0" collapsed="false">
      <c r="A18" s="25" t="s">
        <v>141</v>
      </c>
      <c r="B18" s="43" t="n">
        <v>0.15</v>
      </c>
      <c r="C18" s="25" t="s">
        <v>70</v>
      </c>
      <c r="D18" s="27" t="s">
        <v>293</v>
      </c>
    </row>
    <row r="20" customFormat="false" ht="15" hidden="false" customHeight="false" outlineLevel="0" collapsed="false">
      <c r="A20" s="40" t="s">
        <v>143</v>
      </c>
      <c r="B20" s="41"/>
      <c r="C20" s="41"/>
      <c r="D20" s="41"/>
    </row>
    <row r="21" customFormat="false" ht="15" hidden="false" customHeight="false" outlineLevel="0" collapsed="false">
      <c r="A21" s="25" t="s">
        <v>294</v>
      </c>
      <c r="B21" s="50" t="n">
        <f aca="false">$B$8*(1+$B$9)</f>
        <v>49.2</v>
      </c>
      <c r="C21" s="25" t="s">
        <v>96</v>
      </c>
      <c r="D21" s="27"/>
    </row>
    <row r="22" customFormat="false" ht="15" hidden="false" customHeight="false" outlineLevel="0" collapsed="false">
      <c r="A22" s="25" t="s">
        <v>295</v>
      </c>
      <c r="B22" s="50" t="n">
        <f aca="false">$B$21*$B$10</f>
        <v>9.84</v>
      </c>
      <c r="C22" s="25" t="s">
        <v>96</v>
      </c>
      <c r="D22" s="27"/>
    </row>
    <row r="23" customFormat="false" ht="15" hidden="false" customHeight="false" outlineLevel="0" collapsed="false">
      <c r="A23" s="25" t="s">
        <v>296</v>
      </c>
      <c r="B23" s="50" t="n">
        <f aca="false">$B$22*$B$11</f>
        <v>98.4</v>
      </c>
      <c r="C23" s="25" t="s">
        <v>96</v>
      </c>
      <c r="D23" s="27"/>
    </row>
    <row r="24" customFormat="false" ht="15" hidden="false" customHeight="false" outlineLevel="0" collapsed="false">
      <c r="A24" s="25" t="s">
        <v>155</v>
      </c>
      <c r="B24" s="12" t="n">
        <f aca="false">IF($B$12&gt;0,$B$23*1000/$B$12,0)</f>
        <v>1381.75077934114</v>
      </c>
      <c r="C24" s="25" t="s">
        <v>85</v>
      </c>
      <c r="D24" s="27"/>
    </row>
    <row r="25" customFormat="false" ht="15" hidden="false" customHeight="false" outlineLevel="0" collapsed="false">
      <c r="A25" s="25" t="s">
        <v>156</v>
      </c>
      <c r="B25" s="12" t="n">
        <f aca="false">$B$8*(1+$B$9)*$B$10*$B$17*1000/$B$12</f>
        <v>2072.62616901171</v>
      </c>
      <c r="C25" s="25" t="s">
        <v>85</v>
      </c>
      <c r="D25" s="27" t="s">
        <v>252</v>
      </c>
    </row>
    <row r="26" customFormat="false" ht="15" hidden="false" customHeight="false" outlineLevel="0" collapsed="false">
      <c r="A26" s="25" t="s">
        <v>158</v>
      </c>
      <c r="B26" s="12" t="n">
        <f aca="false">$B$15*($B$25-$B$24)*((1+$B$18)/(1+$B$14))^$B$16</f>
        <v>291.154912205887</v>
      </c>
      <c r="C26" s="25" t="s">
        <v>85</v>
      </c>
      <c r="D26" s="27" t="s">
        <v>159</v>
      </c>
    </row>
    <row r="27" customFormat="false" ht="15" hidden="false" customHeight="false" outlineLevel="0" collapsed="false">
      <c r="A27" s="25" t="s">
        <v>160</v>
      </c>
      <c r="B27" s="12" t="n">
        <f aca="false">$B$24+$B$26</f>
        <v>1672.90569154703</v>
      </c>
      <c r="C27" s="25" t="s">
        <v>85</v>
      </c>
      <c r="D27" s="27"/>
    </row>
    <row r="29" customFormat="false" ht="15" hidden="false" customHeight="false" outlineLevel="0" collapsed="false">
      <c r="A29" s="40" t="s">
        <v>161</v>
      </c>
      <c r="B29" s="41"/>
      <c r="C29" s="41"/>
      <c r="D29" s="41"/>
    </row>
    <row r="30" customFormat="false" ht="15" hidden="false" customHeight="false" outlineLevel="0" collapsed="false">
      <c r="A30" s="13" t="s">
        <v>162</v>
      </c>
      <c r="B30" s="51" t="n">
        <f aca="false">$B$27</f>
        <v>1672.90569154703</v>
      </c>
      <c r="C30" s="25" t="s">
        <v>85</v>
      </c>
      <c r="D30" s="2" t="s">
        <v>163</v>
      </c>
    </row>
    <row r="31" customFormat="false" ht="15" hidden="false" customHeight="false" outlineLevel="0" collapsed="false">
      <c r="A31" s="25" t="s">
        <v>164</v>
      </c>
      <c r="B31" s="7" t="n">
        <f aca="false">Сводка!$D$7</f>
        <v>1176.8</v>
      </c>
      <c r="C31" s="25" t="s">
        <v>85</v>
      </c>
      <c r="D31" s="2" t="s">
        <v>165</v>
      </c>
    </row>
    <row r="32" customFormat="false" ht="15" hidden="false" customHeight="false" outlineLevel="0" collapsed="false">
      <c r="A32" s="25" t="s">
        <v>166</v>
      </c>
      <c r="B32" s="52" t="n">
        <f aca="false">$B$30*(1-Параметры!$B$10)</f>
        <v>1288.13738249121</v>
      </c>
      <c r="C32" s="25" t="s">
        <v>85</v>
      </c>
      <c r="D32" s="2" t="s">
        <v>167</v>
      </c>
    </row>
    <row r="33" customFormat="false" ht="15" hidden="false" customHeight="false" outlineLevel="0" collapsed="false">
      <c r="A33" s="25" t="s">
        <v>168</v>
      </c>
      <c r="B33" s="52" t="n">
        <f aca="false">$B$30*(1+Параметры!$B$11)</f>
        <v>1974.02871602549</v>
      </c>
      <c r="C33" s="25" t="s">
        <v>85</v>
      </c>
      <c r="D33" s="2" t="s">
        <v>169</v>
      </c>
    </row>
    <row r="34" customFormat="false" ht="15" hidden="false" customHeight="false" outlineLevel="0" collapsed="false">
      <c r="A34" s="25" t="s">
        <v>170</v>
      </c>
      <c r="B34" s="7" t="n">
        <f aca="false">$B$33*(1-Параметры!$B$12)</f>
        <v>1875.32728022422</v>
      </c>
      <c r="C34" s="25" t="s">
        <v>85</v>
      </c>
      <c r="D34" s="2" t="s">
        <v>171</v>
      </c>
    </row>
    <row r="35" customFormat="false" ht="15" hidden="false" customHeight="false" outlineLevel="0" collapsed="false">
      <c r="A35" s="25" t="s">
        <v>172</v>
      </c>
      <c r="B35" s="8" t="n">
        <f aca="false">IF($B$31&gt;0,$B$30/$B$31-1,0)</f>
        <v>0.421571797711615</v>
      </c>
      <c r="C35" s="25" t="s">
        <v>70</v>
      </c>
      <c r="D35" s="2"/>
    </row>
    <row r="36" customFormat="false" ht="15" hidden="false" customHeight="false" outlineLevel="0" collapsed="false">
      <c r="A36" s="25" t="s">
        <v>173</v>
      </c>
      <c r="B36" s="8" t="n">
        <f aca="false">IF($B$31&gt;0,$B$33/$B$31-1,0)</f>
        <v>0.677454721299705</v>
      </c>
      <c r="C36" s="25" t="s">
        <v>70</v>
      </c>
      <c r="D36" s="2"/>
    </row>
    <row r="37" customFormat="false" ht="15" hidden="false" customHeight="false" outlineLevel="0" collapsed="false">
      <c r="A37" s="13" t="s">
        <v>11</v>
      </c>
      <c r="B37" s="4" t="str">
        <f aca="false">IF($B$31&lt;=$B$32,"ЗОНА ПОКУПКИ",IF($B$31&gt;=$B$33,"ЦЕНА ПРОДАЖИ",IF($B$31&gt;=$B$34,"ПРИБЛИЖАЕТСЯ К ПРОДАЖЕ","ДЕРЖАТЬ")))</f>
        <v>ЗОНА ПОКУПКИ</v>
      </c>
      <c r="C37" s="25"/>
      <c r="D37" s="2" t="s">
        <v>174</v>
      </c>
    </row>
    <row r="39" customFormat="false" ht="15" hidden="false" customHeight="false" outlineLevel="0" collapsed="false">
      <c r="A39" s="40" t="s">
        <v>175</v>
      </c>
      <c r="B39" s="41"/>
      <c r="C39" s="41"/>
      <c r="D39" s="41"/>
    </row>
    <row r="40" customFormat="false" ht="15" hidden="false" customHeight="false" outlineLevel="0" collapsed="false">
      <c r="A40" s="25" t="s">
        <v>297</v>
      </c>
      <c r="B40" s="53" t="n">
        <f aca="false">IF($B$22&gt;0,$B$31*$B$12/1000/$B$22,0)</f>
        <v>8.5167312195122</v>
      </c>
      <c r="C40" s="25" t="s">
        <v>101</v>
      </c>
      <c r="D40" s="27"/>
    </row>
    <row r="41" customFormat="false" ht="15" hidden="false" customHeight="false" outlineLevel="0" collapsed="false">
      <c r="A41" s="25" t="s">
        <v>298</v>
      </c>
      <c r="B41" s="12" t="n">
        <f aca="false">$B$22*0.5*1000/$B$12</f>
        <v>69.087538967057</v>
      </c>
      <c r="C41" s="25" t="s">
        <v>85</v>
      </c>
      <c r="D41" s="27" t="s">
        <v>299</v>
      </c>
    </row>
    <row r="42" customFormat="false" ht="22.35" hidden="false" customHeight="false" outlineLevel="0" collapsed="false">
      <c r="A42" s="25" t="s">
        <v>300</v>
      </c>
      <c r="B42" s="12" t="n">
        <f aca="false">1475</f>
        <v>1475</v>
      </c>
      <c r="C42" s="25" t="s">
        <v>85</v>
      </c>
      <c r="D42" s="27" t="s">
        <v>301</v>
      </c>
    </row>
    <row r="44" customFormat="false" ht="15" hidden="false" customHeight="false" outlineLevel="0" collapsed="false">
      <c r="A44" s="40" t="s">
        <v>302</v>
      </c>
      <c r="B44" s="41"/>
      <c r="C44" s="41"/>
      <c r="D44" s="41"/>
      <c r="E44" s="41"/>
      <c r="F44" s="41"/>
      <c r="G44" s="41"/>
    </row>
    <row r="45" customFormat="false" ht="15" hidden="false" customHeight="false" outlineLevel="0" collapsed="false">
      <c r="A45" s="13" t="s">
        <v>303</v>
      </c>
      <c r="B45" s="63" t="n">
        <v>0.12</v>
      </c>
      <c r="C45" s="63" t="n">
        <v>0.16</v>
      </c>
      <c r="D45" s="63" t="n">
        <v>0.2</v>
      </c>
      <c r="E45" s="63" t="n">
        <v>0.24</v>
      </c>
      <c r="F45" s="63" t="n">
        <v>0.28</v>
      </c>
    </row>
    <row r="46" customFormat="false" ht="15" hidden="false" customHeight="false" outlineLevel="0" collapsed="false">
      <c r="A46" s="64" t="n">
        <v>8</v>
      </c>
      <c r="B46" s="10" t="n">
        <f aca="false">($B$8*(1+$B$9)*B$45*$A46*1000/$B$12)+$B$15*(($B$8*(1+$B$9)*B$45*$B$17*1000/$B$12)-($B$8*(1+$B$9)*B$45*$A46*1000/$B$12))*((1+$B$18)/(1+$B$14))^$B$16</f>
        <v>907.810500336693</v>
      </c>
      <c r="C46" s="10" t="n">
        <f aca="false">($B$8*(1+$B$9)*C$45*$A46*1000/$B$12)+$B$15*(($B$8*(1+$B$9)*C$45*$B$17*1000/$B$12)-($B$8*(1+$B$9)*C$45*$A46*1000/$B$12))*((1+$B$18)/(1+$B$14))^$B$16</f>
        <v>1210.41400044892</v>
      </c>
      <c r="D46" s="10" t="n">
        <f aca="false">($B$8*(1+$B$9)*D$45*$A46*1000/$B$12)+$B$15*(($B$8*(1+$B$9)*D$45*$B$17*1000/$B$12)-($B$8*(1+$B$9)*D$45*$A46*1000/$B$12))*((1+$B$18)/(1+$B$14))^$B$16</f>
        <v>1513.01750056116</v>
      </c>
      <c r="E46" s="10" t="n">
        <f aca="false">($B$8*(1+$B$9)*E$45*$A46*1000/$B$12)+$B$15*(($B$8*(1+$B$9)*E$45*$B$17*1000/$B$12)-($B$8*(1+$B$9)*E$45*$A46*1000/$B$12))*((1+$B$18)/(1+$B$14))^$B$16</f>
        <v>1815.62100067339</v>
      </c>
      <c r="F46" s="10" t="n">
        <f aca="false">($B$8*(1+$B$9)*F$45*$A46*1000/$B$12)+$B$15*(($B$8*(1+$B$9)*F$45*$B$17*1000/$B$12)-($B$8*(1+$B$9)*F$45*$A46*1000/$B$12))*((1+$B$18)/(1+$B$14))^$B$16</f>
        <v>2118.22450078562</v>
      </c>
    </row>
    <row r="47" customFormat="false" ht="15" hidden="false" customHeight="false" outlineLevel="0" collapsed="false">
      <c r="A47" s="64" t="n">
        <v>9</v>
      </c>
      <c r="B47" s="10" t="n">
        <f aca="false">($B$8*(1+$B$9)*B$45*$A47*1000/$B$12)+$B$15*(($B$8*(1+$B$9)*B$45*$B$17*1000/$B$12)-($B$8*(1+$B$9)*B$45*$A47*1000/$B$12))*((1+$B$18)/(1+$B$14))^$B$16</f>
        <v>955.776957632455</v>
      </c>
      <c r="C47" s="10" t="n">
        <f aca="false">($B$8*(1+$B$9)*C$45*$A47*1000/$B$12)+$B$15*(($B$8*(1+$B$9)*C$45*$B$17*1000/$B$12)-($B$8*(1+$B$9)*C$45*$A47*1000/$B$12))*((1+$B$18)/(1+$B$14))^$B$16</f>
        <v>1274.36927684327</v>
      </c>
      <c r="D47" s="10" t="n">
        <f aca="false">($B$8*(1+$B$9)*D$45*$A47*1000/$B$12)+$B$15*(($B$8*(1+$B$9)*D$45*$B$17*1000/$B$12)-($B$8*(1+$B$9)*D$45*$A47*1000/$B$12))*((1+$B$18)/(1+$B$14))^$B$16</f>
        <v>1592.96159605409</v>
      </c>
      <c r="E47" s="10" t="n">
        <f aca="false">($B$8*(1+$B$9)*E$45*$A47*1000/$B$12)+$B$15*(($B$8*(1+$B$9)*E$45*$B$17*1000/$B$12)-($B$8*(1+$B$9)*E$45*$A47*1000/$B$12))*((1+$B$18)/(1+$B$14))^$B$16</f>
        <v>1911.55391526491</v>
      </c>
      <c r="F47" s="10" t="n">
        <f aca="false">($B$8*(1+$B$9)*F$45*$A47*1000/$B$12)+$B$15*(($B$8*(1+$B$9)*F$45*$B$17*1000/$B$12)-($B$8*(1+$B$9)*F$45*$A47*1000/$B$12))*((1+$B$18)/(1+$B$14))^$B$16</f>
        <v>2230.14623447573</v>
      </c>
    </row>
    <row r="48" customFormat="false" ht="15" hidden="false" customHeight="false" outlineLevel="0" collapsed="false">
      <c r="A48" s="64" t="n">
        <v>10</v>
      </c>
      <c r="B48" s="10" t="n">
        <f aca="false">($B$8*(1+$B$9)*B$45*$A48*1000/$B$12)+$B$15*(($B$8*(1+$B$9)*B$45*$B$17*1000/$B$12)-($B$8*(1+$B$9)*B$45*$A48*1000/$B$12))*((1+$B$18)/(1+$B$14))^$B$16</f>
        <v>1003.74341492822</v>
      </c>
      <c r="C48" s="10" t="n">
        <f aca="false">($B$8*(1+$B$9)*C$45*$A48*1000/$B$12)+$B$15*(($B$8*(1+$B$9)*C$45*$B$17*1000/$B$12)-($B$8*(1+$B$9)*C$45*$A48*1000/$B$12))*((1+$B$18)/(1+$B$14))^$B$16</f>
        <v>1338.32455323762</v>
      </c>
      <c r="D48" s="56" t="n">
        <f aca="false">($B$8*(1+$B$9)*D$45*$A48*1000/$B$12)+$B$15*(($B$8*(1+$B$9)*D$45*$B$17*1000/$B$12)-($B$8*(1+$B$9)*D$45*$A48*1000/$B$12))*((1+$B$18)/(1+$B$14))^$B$16</f>
        <v>1672.90569154703</v>
      </c>
      <c r="E48" s="10" t="n">
        <f aca="false">($B$8*(1+$B$9)*E$45*$A48*1000/$B$12)+$B$15*(($B$8*(1+$B$9)*E$45*$B$17*1000/$B$12)-($B$8*(1+$B$9)*E$45*$A48*1000/$B$12))*((1+$B$18)/(1+$B$14))^$B$16</f>
        <v>2007.48682985643</v>
      </c>
      <c r="F48" s="10" t="n">
        <f aca="false">($B$8*(1+$B$9)*F$45*$A48*1000/$B$12)+$B$15*(($B$8*(1+$B$9)*F$45*$B$17*1000/$B$12)-($B$8*(1+$B$9)*F$45*$A48*1000/$B$12))*((1+$B$18)/(1+$B$14))^$B$16</f>
        <v>2342.06796816584</v>
      </c>
    </row>
    <row r="49" customFormat="false" ht="15" hidden="false" customHeight="false" outlineLevel="0" collapsed="false">
      <c r="A49" s="64" t="n">
        <v>11</v>
      </c>
      <c r="B49" s="10" t="n">
        <f aca="false">($B$8*(1+$B$9)*B$45*$A49*1000/$B$12)+$B$15*(($B$8*(1+$B$9)*B$45*$B$17*1000/$B$12)-($B$8*(1+$B$9)*B$45*$A49*1000/$B$12))*((1+$B$18)/(1+$B$14))^$B$16</f>
        <v>1051.70987222398</v>
      </c>
      <c r="C49" s="10" t="n">
        <f aca="false">($B$8*(1+$B$9)*C$45*$A49*1000/$B$12)+$B$15*(($B$8*(1+$B$9)*C$45*$B$17*1000/$B$12)-($B$8*(1+$B$9)*C$45*$A49*1000/$B$12))*((1+$B$18)/(1+$B$14))^$B$16</f>
        <v>1402.27982963197</v>
      </c>
      <c r="D49" s="10" t="n">
        <f aca="false">($B$8*(1+$B$9)*D$45*$A49*1000/$B$12)+$B$15*(($B$8*(1+$B$9)*D$45*$B$17*1000/$B$12)-($B$8*(1+$B$9)*D$45*$A49*1000/$B$12))*((1+$B$18)/(1+$B$14))^$B$16</f>
        <v>1752.84978703997</v>
      </c>
      <c r="E49" s="10" t="n">
        <f aca="false">($B$8*(1+$B$9)*E$45*$A49*1000/$B$12)+$B$15*(($B$8*(1+$B$9)*E$45*$B$17*1000/$B$12)-($B$8*(1+$B$9)*E$45*$A49*1000/$B$12))*((1+$B$18)/(1+$B$14))^$B$16</f>
        <v>2103.41974444796</v>
      </c>
      <c r="F49" s="10" t="n">
        <f aca="false">($B$8*(1+$B$9)*F$45*$A49*1000/$B$12)+$B$15*(($B$8*(1+$B$9)*F$45*$B$17*1000/$B$12)-($B$8*(1+$B$9)*F$45*$A49*1000/$B$12))*((1+$B$18)/(1+$B$14))^$B$16</f>
        <v>2453.98970185595</v>
      </c>
    </row>
    <row r="50" customFormat="false" ht="15" hidden="false" customHeight="false" outlineLevel="0" collapsed="false">
      <c r="A50" s="64" t="n">
        <v>12</v>
      </c>
      <c r="B50" s="10" t="n">
        <f aca="false">($B$8*(1+$B$9)*B$45*$A50*1000/$B$12)+$B$15*(($B$8*(1+$B$9)*B$45*$B$17*1000/$B$12)-($B$8*(1+$B$9)*B$45*$A50*1000/$B$12))*((1+$B$18)/(1+$B$14))^$B$16</f>
        <v>1099.67632951974</v>
      </c>
      <c r="C50" s="10" t="n">
        <f aca="false">($B$8*(1+$B$9)*C$45*$A50*1000/$B$12)+$B$15*(($B$8*(1+$B$9)*C$45*$B$17*1000/$B$12)-($B$8*(1+$B$9)*C$45*$A50*1000/$B$12))*((1+$B$18)/(1+$B$14))^$B$16</f>
        <v>1466.23510602632</v>
      </c>
      <c r="D50" s="10" t="n">
        <f aca="false">($B$8*(1+$B$9)*D$45*$A50*1000/$B$12)+$B$15*(($B$8*(1+$B$9)*D$45*$B$17*1000/$B$12)-($B$8*(1+$B$9)*D$45*$A50*1000/$B$12))*((1+$B$18)/(1+$B$14))^$B$16</f>
        <v>1832.7938825329</v>
      </c>
      <c r="E50" s="10" t="n">
        <f aca="false">($B$8*(1+$B$9)*E$45*$A50*1000/$B$12)+$B$15*(($B$8*(1+$B$9)*E$45*$B$17*1000/$B$12)-($B$8*(1+$B$9)*E$45*$A50*1000/$B$12))*((1+$B$18)/(1+$B$14))^$B$16</f>
        <v>2199.35265903948</v>
      </c>
      <c r="F50" s="10" t="n">
        <f aca="false">($B$8*(1+$B$9)*F$45*$A50*1000/$B$12)+$B$15*(($B$8*(1+$B$9)*F$45*$B$17*1000/$B$12)-($B$8*(1+$B$9)*F$45*$A50*1000/$B$12))*((1+$B$18)/(1+$B$14))^$B$16</f>
        <v>2565.91143554606</v>
      </c>
    </row>
    <row r="51" customFormat="false" ht="15" hidden="false" customHeight="false" outlineLevel="0" collapsed="false">
      <c r="A51" s="2" t="s">
        <v>192</v>
      </c>
    </row>
    <row r="53" customFormat="false" ht="15" hidden="false" customHeight="false" outlineLevel="0" collapsed="false">
      <c r="A53" s="40" t="s">
        <v>195</v>
      </c>
      <c r="B53" s="41"/>
      <c r="C53" s="41"/>
      <c r="D53" s="41"/>
    </row>
    <row r="54" customFormat="false" ht="43.5" hidden="false" customHeight="true" outlineLevel="0" collapsed="false">
      <c r="A54" s="57" t="s">
        <v>304</v>
      </c>
      <c r="B54" s="57"/>
      <c r="C54" s="57"/>
      <c r="D54" s="57"/>
    </row>
    <row r="55" customFormat="false" ht="15" hidden="false" customHeight="false" outlineLevel="0" collapsed="false">
      <c r="A55" s="58" t="s">
        <v>305</v>
      </c>
      <c r="B55" s="58"/>
      <c r="C55" s="58"/>
      <c r="D55" s="58"/>
    </row>
    <row r="56" customFormat="false" ht="15" hidden="false" customHeight="false" outlineLevel="0" collapsed="false">
      <c r="A56" s="58" t="s">
        <v>306</v>
      </c>
      <c r="B56" s="58"/>
      <c r="C56" s="58"/>
      <c r="D56" s="58"/>
    </row>
    <row r="57" customFormat="false" ht="15" hidden="false" customHeight="false" outlineLevel="0" collapsed="false">
      <c r="A57" s="58" t="s">
        <v>307</v>
      </c>
      <c r="B57" s="58"/>
      <c r="C57" s="58"/>
      <c r="D57" s="58"/>
    </row>
    <row r="58" customFormat="false" ht="15" hidden="false" customHeight="false" outlineLevel="0" collapsed="false">
      <c r="A58" s="58" t="s">
        <v>308</v>
      </c>
      <c r="B58" s="58"/>
      <c r="C58" s="58"/>
      <c r="D58" s="58"/>
    </row>
    <row r="60" customFormat="false" ht="15" hidden="false" customHeight="false" outlineLevel="0" collapsed="false">
      <c r="A60" s="40" t="s">
        <v>201</v>
      </c>
      <c r="B60" s="41"/>
      <c r="C60" s="41"/>
      <c r="D60" s="41"/>
    </row>
    <row r="61" customFormat="false" ht="15" hidden="false" customHeight="false" outlineLevel="0" collapsed="false">
      <c r="A61" s="58" t="s">
        <v>309</v>
      </c>
      <c r="B61" s="58"/>
      <c r="C61" s="58"/>
      <c r="D61" s="58"/>
    </row>
    <row r="62" customFormat="false" ht="15" hidden="false" customHeight="false" outlineLevel="0" collapsed="false">
      <c r="A62" s="58" t="s">
        <v>310</v>
      </c>
      <c r="B62" s="58"/>
      <c r="C62" s="58"/>
      <c r="D62" s="58"/>
    </row>
    <row r="63" customFormat="false" ht="15" hidden="false" customHeight="false" outlineLevel="0" collapsed="false">
      <c r="A63" s="58" t="s">
        <v>311</v>
      </c>
      <c r="B63" s="58"/>
      <c r="C63" s="58"/>
      <c r="D63" s="58"/>
    </row>
    <row r="64" customFormat="false" ht="15" hidden="false" customHeight="false" outlineLevel="0" collapsed="false">
      <c r="A64" s="58" t="s">
        <v>312</v>
      </c>
      <c r="B64" s="58"/>
      <c r="C64" s="58"/>
      <c r="D64" s="58"/>
    </row>
    <row r="66" customFormat="false" ht="15" hidden="false" customHeight="false" outlineLevel="0" collapsed="false">
      <c r="A66" s="40" t="s">
        <v>207</v>
      </c>
      <c r="B66" s="41"/>
      <c r="C66" s="41"/>
      <c r="D66" s="41"/>
    </row>
    <row r="67" customFormat="false" ht="15" hidden="false" customHeight="false" outlineLevel="0" collapsed="false">
      <c r="A67" s="16" t="s">
        <v>313</v>
      </c>
      <c r="B67" s="16"/>
      <c r="C67" s="16"/>
      <c r="D67" s="16"/>
    </row>
    <row r="68" customFormat="false" ht="15" hidden="false" customHeight="false" outlineLevel="0" collapsed="false">
      <c r="A68" s="16" t="s">
        <v>314</v>
      </c>
      <c r="B68" s="16"/>
      <c r="C68" s="16"/>
      <c r="D68" s="16"/>
    </row>
    <row r="69" customFormat="false" ht="15" hidden="false" customHeight="false" outlineLevel="0" collapsed="false">
      <c r="A69" s="16" t="s">
        <v>315</v>
      </c>
      <c r="B69" s="16"/>
      <c r="C69" s="16"/>
      <c r="D69" s="16"/>
    </row>
    <row r="70" customFormat="false" ht="15" hidden="false" customHeight="false" outlineLevel="0" collapsed="false">
      <c r="A70" s="16" t="s">
        <v>316</v>
      </c>
      <c r="B70" s="16"/>
      <c r="C70" s="16"/>
      <c r="D70" s="16"/>
    </row>
    <row r="71" customFormat="false" ht="15" hidden="false" customHeight="false" outlineLevel="0" collapsed="false">
      <c r="A71" s="16" t="s">
        <v>317</v>
      </c>
      <c r="B71" s="16"/>
      <c r="C71" s="16"/>
      <c r="D71" s="16"/>
    </row>
    <row r="72" customFormat="false" ht="15" hidden="false" customHeight="false" outlineLevel="0" collapsed="false">
      <c r="A72" s="16" t="s">
        <v>318</v>
      </c>
      <c r="B72" s="16"/>
      <c r="C72" s="16"/>
      <c r="D72" s="16"/>
    </row>
  </sheetData>
  <mergeCells count="16">
    <mergeCell ref="A3:D3"/>
    <mergeCell ref="A54:D54"/>
    <mergeCell ref="A55:D55"/>
    <mergeCell ref="A56:D56"/>
    <mergeCell ref="A57:D57"/>
    <mergeCell ref="A58:D58"/>
    <mergeCell ref="A61:D61"/>
    <mergeCell ref="A62:D62"/>
    <mergeCell ref="A63:D63"/>
    <mergeCell ref="A64:D64"/>
    <mergeCell ref="A67:D67"/>
    <mergeCell ref="A68:D68"/>
    <mergeCell ref="A69:D69"/>
    <mergeCell ref="A70:D70"/>
    <mergeCell ref="A71:D71"/>
    <mergeCell ref="A72:D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80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1" t="s">
        <v>319</v>
      </c>
    </row>
    <row r="2" customFormat="false" ht="15" hidden="false" customHeight="false" outlineLevel="0" collapsed="false">
      <c r="A2" s="13" t="s">
        <v>320</v>
      </c>
    </row>
    <row r="3" customFormat="false" ht="42" hidden="false" customHeight="true" outlineLevel="0" collapsed="false">
      <c r="A3" s="39" t="s">
        <v>321</v>
      </c>
      <c r="B3" s="39"/>
      <c r="C3" s="39"/>
      <c r="D3" s="39"/>
    </row>
    <row r="4" customFormat="false" ht="15" hidden="false" customHeight="false" outlineLevel="0" collapsed="false">
      <c r="A4" s="2" t="s">
        <v>116</v>
      </c>
    </row>
    <row r="6" customFormat="false" ht="15" hidden="false" customHeight="false" outlineLevel="0" collapsed="false">
      <c r="A6" s="24" t="s">
        <v>117</v>
      </c>
      <c r="B6" s="24" t="s">
        <v>64</v>
      </c>
      <c r="C6" s="24" t="s">
        <v>65</v>
      </c>
      <c r="D6" s="24" t="s">
        <v>66</v>
      </c>
    </row>
    <row r="7" customFormat="false" ht="15" hidden="false" customHeight="false" outlineLevel="0" collapsed="false">
      <c r="A7" s="40" t="s">
        <v>118</v>
      </c>
      <c r="B7" s="41"/>
      <c r="C7" s="41"/>
      <c r="D7" s="41"/>
    </row>
    <row r="8" customFormat="false" ht="22.35" hidden="false" customHeight="false" outlineLevel="0" collapsed="false">
      <c r="A8" s="25" t="s">
        <v>322</v>
      </c>
      <c r="B8" s="60" t="n">
        <v>60.2</v>
      </c>
      <c r="C8" s="25" t="s">
        <v>96</v>
      </c>
      <c r="D8" s="27" t="s">
        <v>323</v>
      </c>
    </row>
    <row r="9" customFormat="false" ht="22.35" hidden="false" customHeight="false" outlineLevel="0" collapsed="false">
      <c r="A9" s="25" t="s">
        <v>324</v>
      </c>
      <c r="B9" s="45" t="n">
        <v>0.35</v>
      </c>
      <c r="C9" s="25" t="s">
        <v>70</v>
      </c>
      <c r="D9" s="27" t="s">
        <v>325</v>
      </c>
    </row>
    <row r="10" customFormat="false" ht="15" hidden="false" customHeight="false" outlineLevel="0" collapsed="false">
      <c r="A10" s="25" t="s">
        <v>326</v>
      </c>
      <c r="B10" s="45" t="n">
        <v>0.4</v>
      </c>
      <c r="C10" s="25" t="s">
        <v>70</v>
      </c>
      <c r="D10" s="27" t="s">
        <v>327</v>
      </c>
    </row>
    <row r="11" customFormat="false" ht="22.35" hidden="false" customHeight="false" outlineLevel="0" collapsed="false">
      <c r="A11" s="25" t="s">
        <v>233</v>
      </c>
      <c r="B11" s="49" t="n">
        <v>5</v>
      </c>
      <c r="C11" s="25" t="s">
        <v>101</v>
      </c>
      <c r="D11" s="27" t="s">
        <v>328</v>
      </c>
    </row>
    <row r="12" customFormat="false" ht="22.35" hidden="false" customHeight="false" outlineLevel="0" collapsed="false">
      <c r="A12" s="25" t="s">
        <v>329</v>
      </c>
      <c r="B12" s="60" t="n">
        <v>38.3</v>
      </c>
      <c r="C12" s="25" t="s">
        <v>96</v>
      </c>
      <c r="D12" s="27" t="s">
        <v>330</v>
      </c>
    </row>
    <row r="13" customFormat="false" ht="15" hidden="false" customHeight="false" outlineLevel="0" collapsed="false">
      <c r="A13" s="25" t="s">
        <v>239</v>
      </c>
      <c r="B13" s="60" t="n">
        <v>212.5</v>
      </c>
      <c r="C13" s="25" t="s">
        <v>240</v>
      </c>
      <c r="D13" s="27" t="s">
        <v>331</v>
      </c>
    </row>
    <row r="14" customFormat="false" ht="15" hidden="false" customHeight="false" outlineLevel="0" collapsed="false">
      <c r="A14" s="25" t="s">
        <v>332</v>
      </c>
      <c r="B14" s="43" t="n">
        <v>0.16</v>
      </c>
      <c r="C14" s="25" t="s">
        <v>70</v>
      </c>
      <c r="D14" s="27" t="s">
        <v>333</v>
      </c>
    </row>
    <row r="15" customFormat="false" ht="15" hidden="false" customHeight="false" outlineLevel="0" collapsed="false">
      <c r="A15" s="25" t="s">
        <v>242</v>
      </c>
      <c r="B15" s="11" t="n">
        <f aca="false">Параметры!$B$9</f>
        <v>0.19</v>
      </c>
      <c r="C15" s="25" t="s">
        <v>70</v>
      </c>
      <c r="D15" s="27" t="s">
        <v>132</v>
      </c>
    </row>
    <row r="16" customFormat="false" ht="15" hidden="false" customHeight="false" outlineLevel="0" collapsed="false">
      <c r="A16" s="25" t="s">
        <v>138</v>
      </c>
      <c r="B16" s="11" t="n">
        <f aca="false">Параметры!$B$15</f>
        <v>0.5</v>
      </c>
      <c r="C16" s="25" t="s">
        <v>70</v>
      </c>
      <c r="D16" s="27" t="s">
        <v>132</v>
      </c>
    </row>
    <row r="17" customFormat="false" ht="15" hidden="false" customHeight="false" outlineLevel="0" collapsed="false">
      <c r="A17" s="25" t="s">
        <v>92</v>
      </c>
      <c r="B17" s="48" t="n">
        <f aca="false">Параметры!$B$16</f>
        <v>5</v>
      </c>
      <c r="C17" s="25" t="s">
        <v>93</v>
      </c>
      <c r="D17" s="27" t="s">
        <v>132</v>
      </c>
    </row>
    <row r="18" customFormat="false" ht="15" hidden="false" customHeight="false" outlineLevel="0" collapsed="false">
      <c r="A18" s="25" t="s">
        <v>334</v>
      </c>
      <c r="B18" s="49" t="n">
        <v>7</v>
      </c>
      <c r="C18" s="25" t="s">
        <v>101</v>
      </c>
      <c r="D18" s="27" t="s">
        <v>335</v>
      </c>
    </row>
    <row r="19" customFormat="false" ht="15" hidden="false" customHeight="false" outlineLevel="0" collapsed="false">
      <c r="A19" s="25" t="s">
        <v>141</v>
      </c>
      <c r="B19" s="43" t="n">
        <v>0.15</v>
      </c>
      <c r="C19" s="25" t="s">
        <v>70</v>
      </c>
      <c r="D19" s="27" t="s">
        <v>336</v>
      </c>
    </row>
    <row r="21" customFormat="false" ht="15" hidden="false" customHeight="false" outlineLevel="0" collapsed="false">
      <c r="A21" s="40" t="s">
        <v>143</v>
      </c>
      <c r="B21" s="41"/>
      <c r="C21" s="41"/>
      <c r="D21" s="41"/>
    </row>
    <row r="22" customFormat="false" ht="15" hidden="false" customHeight="false" outlineLevel="0" collapsed="false">
      <c r="A22" s="25" t="s">
        <v>246</v>
      </c>
      <c r="B22" s="50" t="n">
        <f aca="false">$B$8*(1+$B$9)</f>
        <v>81.27</v>
      </c>
      <c r="C22" s="25" t="s">
        <v>96</v>
      </c>
      <c r="D22" s="27"/>
    </row>
    <row r="23" customFormat="false" ht="15" hidden="false" customHeight="false" outlineLevel="0" collapsed="false">
      <c r="A23" s="25" t="s">
        <v>248</v>
      </c>
      <c r="B23" s="50" t="n">
        <f aca="false">$B$22*$B$10</f>
        <v>32.508</v>
      </c>
      <c r="C23" s="25" t="s">
        <v>96</v>
      </c>
      <c r="D23" s="27"/>
    </row>
    <row r="24" customFormat="false" ht="15" hidden="false" customHeight="false" outlineLevel="0" collapsed="false">
      <c r="A24" s="25" t="s">
        <v>249</v>
      </c>
      <c r="B24" s="50" t="n">
        <f aca="false">$B$23*$B$11</f>
        <v>162.54</v>
      </c>
      <c r="C24" s="25" t="s">
        <v>96</v>
      </c>
      <c r="D24" s="27"/>
    </row>
    <row r="25" customFormat="false" ht="15" hidden="false" customHeight="false" outlineLevel="0" collapsed="false">
      <c r="A25" s="25" t="s">
        <v>296</v>
      </c>
      <c r="B25" s="50" t="n">
        <f aca="false">$B$24-$B$12</f>
        <v>124.24</v>
      </c>
      <c r="C25" s="25" t="s">
        <v>96</v>
      </c>
      <c r="D25" s="27"/>
    </row>
    <row r="26" customFormat="false" ht="15" hidden="false" customHeight="false" outlineLevel="0" collapsed="false">
      <c r="A26" s="25" t="s">
        <v>155</v>
      </c>
      <c r="B26" s="12" t="n">
        <f aca="false">IF($B$13&gt;0,$B$25*1000/$B$13,0)</f>
        <v>584.658823529412</v>
      </c>
      <c r="C26" s="25" t="s">
        <v>85</v>
      </c>
      <c r="D26" s="27"/>
    </row>
    <row r="27" customFormat="false" ht="15" hidden="false" customHeight="false" outlineLevel="0" collapsed="false">
      <c r="A27" s="25" t="s">
        <v>156</v>
      </c>
      <c r="B27" s="12" t="n">
        <f aca="false">($B$8*(1+$B$9)*$B$10*$B$18-$B$12)*1000/$B$13</f>
        <v>890.616470588235</v>
      </c>
      <c r="C27" s="25" t="s">
        <v>85</v>
      </c>
      <c r="D27" s="27" t="s">
        <v>252</v>
      </c>
    </row>
    <row r="28" customFormat="false" ht="15" hidden="false" customHeight="false" outlineLevel="0" collapsed="false">
      <c r="A28" s="25" t="s">
        <v>158</v>
      </c>
      <c r="B28" s="12" t="n">
        <f aca="false">$B$16*($B$27-$B$26)*((1+$B$19)/(1+$B$15))^$B$17</f>
        <v>128.939419756446</v>
      </c>
      <c r="C28" s="25" t="s">
        <v>85</v>
      </c>
      <c r="D28" s="27" t="s">
        <v>159</v>
      </c>
    </row>
    <row r="29" customFormat="false" ht="15" hidden="false" customHeight="false" outlineLevel="0" collapsed="false">
      <c r="A29" s="25" t="s">
        <v>160</v>
      </c>
      <c r="B29" s="12" t="n">
        <f aca="false">$B$26+$B$28</f>
        <v>713.598243285858</v>
      </c>
      <c r="C29" s="25" t="s">
        <v>85</v>
      </c>
      <c r="D29" s="27"/>
    </row>
    <row r="31" customFormat="false" ht="15" hidden="false" customHeight="false" outlineLevel="0" collapsed="false">
      <c r="A31" s="40" t="s">
        <v>161</v>
      </c>
      <c r="B31" s="41"/>
      <c r="C31" s="41"/>
      <c r="D31" s="41"/>
    </row>
    <row r="32" customFormat="false" ht="15" hidden="false" customHeight="false" outlineLevel="0" collapsed="false">
      <c r="A32" s="13" t="s">
        <v>162</v>
      </c>
      <c r="B32" s="51" t="n">
        <f aca="false">$B$29</f>
        <v>713.598243285858</v>
      </c>
      <c r="C32" s="25" t="s">
        <v>85</v>
      </c>
      <c r="D32" s="2" t="s">
        <v>163</v>
      </c>
    </row>
    <row r="33" customFormat="false" ht="15" hidden="false" customHeight="false" outlineLevel="0" collapsed="false">
      <c r="A33" s="25" t="s">
        <v>164</v>
      </c>
      <c r="B33" s="7" t="n">
        <f aca="false">Сводка!$D$8</f>
        <v>407</v>
      </c>
      <c r="C33" s="25" t="s">
        <v>85</v>
      </c>
      <c r="D33" s="2" t="s">
        <v>165</v>
      </c>
    </row>
    <row r="34" customFormat="false" ht="15" hidden="false" customHeight="false" outlineLevel="0" collapsed="false">
      <c r="A34" s="25" t="s">
        <v>166</v>
      </c>
      <c r="B34" s="52" t="n">
        <f aca="false">$B$32*(1-Параметры!$B$10)</f>
        <v>549.47064733011</v>
      </c>
      <c r="C34" s="25" t="s">
        <v>85</v>
      </c>
      <c r="D34" s="2" t="s">
        <v>167</v>
      </c>
    </row>
    <row r="35" customFormat="false" ht="15" hidden="false" customHeight="false" outlineLevel="0" collapsed="false">
      <c r="A35" s="25" t="s">
        <v>168</v>
      </c>
      <c r="B35" s="52" t="n">
        <f aca="false">$B$32*(1+Параметры!$B$11)</f>
        <v>842.045927077312</v>
      </c>
      <c r="C35" s="25" t="s">
        <v>85</v>
      </c>
      <c r="D35" s="2" t="s">
        <v>169</v>
      </c>
    </row>
    <row r="36" customFormat="false" ht="15" hidden="false" customHeight="false" outlineLevel="0" collapsed="false">
      <c r="A36" s="25" t="s">
        <v>170</v>
      </c>
      <c r="B36" s="7" t="n">
        <f aca="false">$B$35*(1-Параметры!$B$12)</f>
        <v>799.943630723446</v>
      </c>
      <c r="C36" s="25" t="s">
        <v>85</v>
      </c>
      <c r="D36" s="2" t="s">
        <v>171</v>
      </c>
    </row>
    <row r="37" customFormat="false" ht="15" hidden="false" customHeight="false" outlineLevel="0" collapsed="false">
      <c r="A37" s="25" t="s">
        <v>172</v>
      </c>
      <c r="B37" s="8" t="n">
        <f aca="false">IF($B$33&gt;0,$B$32/$B$33-1,0)</f>
        <v>0.753312637065989</v>
      </c>
      <c r="C37" s="25" t="s">
        <v>70</v>
      </c>
      <c r="D37" s="2"/>
    </row>
    <row r="38" customFormat="false" ht="15" hidden="false" customHeight="false" outlineLevel="0" collapsed="false">
      <c r="A38" s="25" t="s">
        <v>173</v>
      </c>
      <c r="B38" s="8" t="n">
        <f aca="false">IF($B$33&gt;0,$B$35/$B$33-1,0)</f>
        <v>1.06890891173787</v>
      </c>
      <c r="C38" s="25" t="s">
        <v>70</v>
      </c>
      <c r="D38" s="2"/>
    </row>
    <row r="39" customFormat="false" ht="15" hidden="false" customHeight="false" outlineLevel="0" collapsed="false">
      <c r="A39" s="13" t="s">
        <v>11</v>
      </c>
      <c r="B39" s="4" t="str">
        <f aca="false">IF($B$33&lt;=$B$34,"ЗОНА ПОКУПКИ",IF($B$33&gt;=$B$35,"ЦЕНА ПРОДАЖИ",IF($B$33&gt;=$B$36,"ПРИБЛИЖАЕТСЯ К ПРОДАЖЕ","ДЕРЖАТЬ")))</f>
        <v>ЗОНА ПОКУПКИ</v>
      </c>
      <c r="C39" s="25"/>
      <c r="D39" s="2" t="s">
        <v>174</v>
      </c>
    </row>
    <row r="41" customFormat="false" ht="15" hidden="false" customHeight="false" outlineLevel="0" collapsed="false">
      <c r="A41" s="40" t="s">
        <v>175</v>
      </c>
      <c r="B41" s="41"/>
      <c r="C41" s="41"/>
      <c r="D41" s="41"/>
    </row>
    <row r="42" customFormat="false" ht="15" hidden="false" customHeight="false" outlineLevel="0" collapsed="false">
      <c r="A42" s="25" t="s">
        <v>337</v>
      </c>
      <c r="B42" s="50" t="n">
        <f aca="false">$B$22*$B$14</f>
        <v>13.0032</v>
      </c>
      <c r="C42" s="25" t="s">
        <v>96</v>
      </c>
      <c r="D42" s="27"/>
    </row>
    <row r="43" customFormat="false" ht="15" hidden="false" customHeight="false" outlineLevel="0" collapsed="false">
      <c r="A43" s="25" t="s">
        <v>338</v>
      </c>
      <c r="B43" s="53" t="n">
        <f aca="false">IF($B$42&gt;0,$B$32*$B$13/1000/$B$42,0)</f>
        <v>11.6617160928267</v>
      </c>
      <c r="C43" s="25" t="s">
        <v>101</v>
      </c>
      <c r="D43" s="27" t="s">
        <v>339</v>
      </c>
    </row>
    <row r="44" customFormat="false" ht="15" hidden="false" customHeight="false" outlineLevel="0" collapsed="false">
      <c r="A44" s="25" t="s">
        <v>253</v>
      </c>
      <c r="B44" s="53" t="n">
        <f aca="false">IF($B$23&gt;0,($B$33*$B$13/1000+$B$12)/$B$23,0)</f>
        <v>3.83867048111234</v>
      </c>
      <c r="C44" s="25" t="s">
        <v>101</v>
      </c>
      <c r="D44" s="27"/>
    </row>
    <row r="45" customFormat="false" ht="15" hidden="false" customHeight="false" outlineLevel="0" collapsed="false">
      <c r="A45" s="25" t="s">
        <v>340</v>
      </c>
      <c r="B45" s="12" t="n">
        <f aca="false">657.87</f>
        <v>657.87</v>
      </c>
      <c r="C45" s="25" t="s">
        <v>85</v>
      </c>
      <c r="D45" s="27" t="s">
        <v>341</v>
      </c>
    </row>
    <row r="47" customFormat="false" ht="15" hidden="false" customHeight="false" outlineLevel="0" collapsed="false">
      <c r="A47" s="40" t="s">
        <v>342</v>
      </c>
      <c r="B47" s="41"/>
      <c r="C47" s="41"/>
      <c r="D47" s="41"/>
      <c r="E47" s="41"/>
      <c r="F47" s="41"/>
      <c r="G47" s="41"/>
    </row>
    <row r="48" customFormat="false" ht="15" hidden="false" customHeight="false" outlineLevel="0" collapsed="false">
      <c r="A48" s="13" t="s">
        <v>343</v>
      </c>
      <c r="B48" s="63" t="n">
        <v>0.2</v>
      </c>
      <c r="C48" s="63" t="n">
        <v>0.275</v>
      </c>
      <c r="D48" s="63" t="n">
        <v>0.35</v>
      </c>
      <c r="E48" s="63" t="n">
        <v>0.425</v>
      </c>
      <c r="F48" s="63" t="n">
        <v>0.5</v>
      </c>
    </row>
    <row r="49" customFormat="false" ht="15" hidden="false" customHeight="false" outlineLevel="0" collapsed="false">
      <c r="A49" s="64" t="n">
        <v>4</v>
      </c>
      <c r="B49" s="10" t="n">
        <f aca="false">(($B$8*(1+B$48)*$B$10*$A49-$B$12)*1000/$B$13)+$B$16*((($B$8*(1+B$48)*$B$10*$B$18-$B$12)*1000/$B$13)-(($B$8*(1+B$48)*$B$10*$A49-$B$12)*1000/$B$13))*((1+$B$19)/(1+$B$15))^$B$17</f>
        <v>535.608638106633</v>
      </c>
      <c r="C49" s="10" t="n">
        <f aca="false">(($B$8*(1+C$48)*$B$10*$A49-$B$12)*1000/$B$13)+$B$16*((($B$8*(1+C$48)*$B$10*$B$18-$B$12)*1000/$B$13)-(($B$8*(1+C$48)*$B$10*$A49-$B$12)*1000/$B$13))*((1+$B$19)/(1+$B$15))^$B$17</f>
        <v>580.348883870651</v>
      </c>
      <c r="D49" s="10" t="n">
        <f aca="false">(($B$8*(1+D$48)*$B$10*$A49-$B$12)*1000/$B$13)+$B$16*((($B$8*(1+D$48)*$B$10*$B$18-$B$12)*1000/$B$13)-(($B$8*(1+D$48)*$B$10*$A49-$B$12)*1000/$B$13))*((1+$B$19)/(1+$B$15))^$B$17</f>
        <v>625.089129634669</v>
      </c>
      <c r="E49" s="10" t="n">
        <f aca="false">(($B$8*(1+E$48)*$B$10*$A49-$B$12)*1000/$B$13)+$B$16*((($B$8*(1+E$48)*$B$10*$B$18-$B$12)*1000/$B$13)-(($B$8*(1+E$48)*$B$10*$A49-$B$12)*1000/$B$13))*((1+$B$19)/(1+$B$15))^$B$17</f>
        <v>669.829375398686</v>
      </c>
      <c r="F49" s="10" t="n">
        <f aca="false">(($B$8*(1+F$48)*$B$10*$A49-$B$12)*1000/$B$13)+$B$16*((($B$8*(1+F$48)*$B$10*$B$18-$B$12)*1000/$B$13)-(($B$8*(1+F$48)*$B$10*$A49-$B$12)*1000/$B$13))*((1+$B$19)/(1+$B$15))^$B$17</f>
        <v>714.569621162704</v>
      </c>
    </row>
    <row r="50" customFormat="false" ht="15" hidden="false" customHeight="false" outlineLevel="0" collapsed="false">
      <c r="A50" s="64" t="n">
        <v>4.5</v>
      </c>
      <c r="B50" s="10" t="n">
        <f aca="false">(($B$8*(1+B$48)*$B$10*$A50-$B$12)*1000/$B$13)+$B$16*((($B$8*(1+B$48)*$B$10*$B$18-$B$12)*1000/$B$13)-(($B$8*(1+B$48)*$B$10*$A50-$B$12)*1000/$B$13))*((1+$B$19)/(1+$B$15))^$B$17</f>
        <v>574.946021951606</v>
      </c>
      <c r="C50" s="10" t="n">
        <f aca="false">(($B$8*(1+C$48)*$B$10*$A50-$B$12)*1000/$B$13)+$B$16*((($B$8*(1+C$48)*$B$10*$B$18-$B$12)*1000/$B$13)-(($B$8*(1+C$48)*$B$10*$A50-$B$12)*1000/$B$13))*((1+$B$19)/(1+$B$15))^$B$17</f>
        <v>622.144854205935</v>
      </c>
      <c r="D50" s="10" t="n">
        <f aca="false">(($B$8*(1+D$48)*$B$10*$A50-$B$12)*1000/$B$13)+$B$16*((($B$8*(1+D$48)*$B$10*$B$18-$B$12)*1000/$B$13)-(($B$8*(1+D$48)*$B$10*$A50-$B$12)*1000/$B$13))*((1+$B$19)/(1+$B$15))^$B$17</f>
        <v>669.343686460263</v>
      </c>
      <c r="E50" s="10" t="n">
        <f aca="false">(($B$8*(1+E$48)*$B$10*$A50-$B$12)*1000/$B$13)+$B$16*((($B$8*(1+E$48)*$B$10*$B$18-$B$12)*1000/$B$13)-(($B$8*(1+E$48)*$B$10*$A50-$B$12)*1000/$B$13))*((1+$B$19)/(1+$B$15))^$B$17</f>
        <v>716.542518714591</v>
      </c>
      <c r="F50" s="10" t="n">
        <f aca="false">(($B$8*(1+F$48)*$B$10*$A50-$B$12)*1000/$B$13)+$B$16*((($B$8*(1+F$48)*$B$10*$B$18-$B$12)*1000/$B$13)-(($B$8*(1+F$48)*$B$10*$A50-$B$12)*1000/$B$13))*((1+$B$19)/(1+$B$15))^$B$17</f>
        <v>763.74135096892</v>
      </c>
    </row>
    <row r="51" customFormat="false" ht="15" hidden="false" customHeight="false" outlineLevel="0" collapsed="false">
      <c r="A51" s="64" t="n">
        <v>5</v>
      </c>
      <c r="B51" s="10" t="n">
        <f aca="false">(($B$8*(1+B$48)*$B$10*$A51-$B$12)*1000/$B$13)+$B$16*((($B$8*(1+B$48)*$B$10*$B$18-$B$12)*1000/$B$13)-(($B$8*(1+B$48)*$B$10*$A51-$B$12)*1000/$B$13))*((1+$B$19)/(1+$B$15))^$B$17</f>
        <v>614.283405796579</v>
      </c>
      <c r="C51" s="10" t="n">
        <f aca="false">(($B$8*(1+C$48)*$B$10*$A51-$B$12)*1000/$B$13)+$B$16*((($B$8*(1+C$48)*$B$10*$B$18-$B$12)*1000/$B$13)-(($B$8*(1+C$48)*$B$10*$A51-$B$12)*1000/$B$13))*((1+$B$19)/(1+$B$15))^$B$17</f>
        <v>663.940824541218</v>
      </c>
      <c r="D51" s="56" t="n">
        <f aca="false">(($B$8*(1+D$48)*$B$10*$A51-$B$12)*1000/$B$13)+$B$16*((($B$8*(1+D$48)*$B$10*$B$18-$B$12)*1000/$B$13)-(($B$8*(1+D$48)*$B$10*$A51-$B$12)*1000/$B$13))*((1+$B$19)/(1+$B$15))^$B$17</f>
        <v>713.598243285858</v>
      </c>
      <c r="E51" s="10" t="n">
        <f aca="false">(($B$8*(1+E$48)*$B$10*$A51-$B$12)*1000/$B$13)+$B$16*((($B$8*(1+E$48)*$B$10*$B$18-$B$12)*1000/$B$13)-(($B$8*(1+E$48)*$B$10*$A51-$B$12)*1000/$B$13))*((1+$B$19)/(1+$B$15))^$B$17</f>
        <v>763.255662030497</v>
      </c>
      <c r="F51" s="10" t="n">
        <f aca="false">(($B$8*(1+F$48)*$B$10*$A51-$B$12)*1000/$B$13)+$B$16*((($B$8*(1+F$48)*$B$10*$B$18-$B$12)*1000/$B$13)-(($B$8*(1+F$48)*$B$10*$A51-$B$12)*1000/$B$13))*((1+$B$19)/(1+$B$15))^$B$17</f>
        <v>812.913080775136</v>
      </c>
    </row>
    <row r="52" customFormat="false" ht="15" hidden="false" customHeight="false" outlineLevel="0" collapsed="false">
      <c r="A52" s="64" t="n">
        <v>5.5</v>
      </c>
      <c r="B52" s="10" t="n">
        <f aca="false">(($B$8*(1+B$48)*$B$10*$A52-$B$12)*1000/$B$13)+$B$16*((($B$8*(1+B$48)*$B$10*$B$18-$B$12)*1000/$B$13)-(($B$8*(1+B$48)*$B$10*$A52-$B$12)*1000/$B$13))*((1+$B$19)/(1+$B$15))^$B$17</f>
        <v>653.620789641552</v>
      </c>
      <c r="C52" s="10" t="n">
        <f aca="false">(($B$8*(1+C$48)*$B$10*$A52-$B$12)*1000/$B$13)+$B$16*((($B$8*(1+C$48)*$B$10*$B$18-$B$12)*1000/$B$13)-(($B$8*(1+C$48)*$B$10*$A52-$B$12)*1000/$B$13))*((1+$B$19)/(1+$B$15))^$B$17</f>
        <v>705.736794876502</v>
      </c>
      <c r="D52" s="10" t="n">
        <f aca="false">(($B$8*(1+D$48)*$B$10*$A52-$B$12)*1000/$B$13)+$B$16*((($B$8*(1+D$48)*$B$10*$B$18-$B$12)*1000/$B$13)-(($B$8*(1+D$48)*$B$10*$A52-$B$12)*1000/$B$13))*((1+$B$19)/(1+$B$15))^$B$17</f>
        <v>757.852800111452</v>
      </c>
      <c r="E52" s="10" t="n">
        <f aca="false">(($B$8*(1+E$48)*$B$10*$A52-$B$12)*1000/$B$13)+$B$16*((($B$8*(1+E$48)*$B$10*$B$18-$B$12)*1000/$B$13)-(($B$8*(1+E$48)*$B$10*$A52-$B$12)*1000/$B$13))*((1+$B$19)/(1+$B$15))^$B$17</f>
        <v>809.968805346402</v>
      </c>
      <c r="F52" s="10" t="n">
        <f aca="false">(($B$8*(1+F$48)*$B$10*$A52-$B$12)*1000/$B$13)+$B$16*((($B$8*(1+F$48)*$B$10*$B$18-$B$12)*1000/$B$13)-(($B$8*(1+F$48)*$B$10*$A52-$B$12)*1000/$B$13))*((1+$B$19)/(1+$B$15))^$B$17</f>
        <v>862.084810581352</v>
      </c>
    </row>
    <row r="53" customFormat="false" ht="15" hidden="false" customHeight="false" outlineLevel="0" collapsed="false">
      <c r="A53" s="64" t="n">
        <v>6</v>
      </c>
      <c r="B53" s="10" t="n">
        <f aca="false">(($B$8*(1+B$48)*$B$10*$A53-$B$12)*1000/$B$13)+$B$16*((($B$8*(1+B$48)*$B$10*$B$18-$B$12)*1000/$B$13)-(($B$8*(1+B$48)*$B$10*$A53-$B$12)*1000/$B$13))*((1+$B$19)/(1+$B$15))^$B$17</f>
        <v>692.958173486525</v>
      </c>
      <c r="C53" s="10" t="n">
        <f aca="false">(($B$8*(1+C$48)*$B$10*$A53-$B$12)*1000/$B$13)+$B$16*((($B$8*(1+C$48)*$B$10*$B$18-$B$12)*1000/$B$13)-(($B$8*(1+C$48)*$B$10*$A53-$B$12)*1000/$B$13))*((1+$B$19)/(1+$B$15))^$B$17</f>
        <v>747.532765211786</v>
      </c>
      <c r="D53" s="10" t="n">
        <f aca="false">(($B$8*(1+D$48)*$B$10*$A53-$B$12)*1000/$B$13)+$B$16*((($B$8*(1+D$48)*$B$10*$B$18-$B$12)*1000/$B$13)-(($B$8*(1+D$48)*$B$10*$A53-$B$12)*1000/$B$13))*((1+$B$19)/(1+$B$15))^$B$17</f>
        <v>802.107356937047</v>
      </c>
      <c r="E53" s="10" t="n">
        <f aca="false">(($B$8*(1+E$48)*$B$10*$A53-$B$12)*1000/$B$13)+$B$16*((($B$8*(1+E$48)*$B$10*$B$18-$B$12)*1000/$B$13)-(($B$8*(1+E$48)*$B$10*$A53-$B$12)*1000/$B$13))*((1+$B$19)/(1+$B$15))^$B$17</f>
        <v>856.681948662307</v>
      </c>
      <c r="F53" s="10" t="n">
        <f aca="false">(($B$8*(1+F$48)*$B$10*$A53-$B$12)*1000/$B$13)+$B$16*((($B$8*(1+F$48)*$B$10*$B$18-$B$12)*1000/$B$13)-(($B$8*(1+F$48)*$B$10*$A53-$B$12)*1000/$B$13))*((1+$B$19)/(1+$B$15))^$B$17</f>
        <v>911.256540387568</v>
      </c>
    </row>
    <row r="54" customFormat="false" ht="15" hidden="false" customHeight="false" outlineLevel="0" collapsed="false">
      <c r="A54" s="2" t="s">
        <v>192</v>
      </c>
    </row>
    <row r="56" customFormat="false" ht="15" hidden="false" customHeight="false" outlineLevel="0" collapsed="false">
      <c r="A56" s="40" t="s">
        <v>195</v>
      </c>
      <c r="B56" s="41"/>
      <c r="C56" s="41"/>
      <c r="D56" s="41"/>
    </row>
    <row r="57" customFormat="false" ht="43.5" hidden="false" customHeight="true" outlineLevel="0" collapsed="false">
      <c r="A57" s="57" t="s">
        <v>344</v>
      </c>
      <c r="B57" s="57"/>
      <c r="C57" s="57"/>
      <c r="D57" s="57"/>
    </row>
    <row r="58" customFormat="false" ht="15" hidden="false" customHeight="false" outlineLevel="0" collapsed="false">
      <c r="A58" s="58" t="s">
        <v>345</v>
      </c>
      <c r="B58" s="58"/>
      <c r="C58" s="58"/>
      <c r="D58" s="58"/>
    </row>
    <row r="59" customFormat="false" ht="15" hidden="false" customHeight="false" outlineLevel="0" collapsed="false">
      <c r="A59" s="58" t="s">
        <v>346</v>
      </c>
      <c r="B59" s="58"/>
      <c r="C59" s="58"/>
      <c r="D59" s="58"/>
    </row>
    <row r="60" customFormat="false" ht="15" hidden="false" customHeight="false" outlineLevel="0" collapsed="false">
      <c r="A60" s="58" t="s">
        <v>347</v>
      </c>
      <c r="B60" s="58"/>
      <c r="C60" s="58"/>
      <c r="D60" s="58"/>
    </row>
    <row r="61" customFormat="false" ht="15" hidden="false" customHeight="false" outlineLevel="0" collapsed="false">
      <c r="A61" s="58" t="s">
        <v>348</v>
      </c>
      <c r="B61" s="58"/>
      <c r="C61" s="58"/>
      <c r="D61" s="58"/>
    </row>
    <row r="63" customFormat="false" ht="15" hidden="false" customHeight="false" outlineLevel="0" collapsed="false">
      <c r="A63" s="40" t="s">
        <v>201</v>
      </c>
      <c r="B63" s="41"/>
      <c r="C63" s="41"/>
      <c r="D63" s="41"/>
    </row>
    <row r="64" customFormat="false" ht="15" hidden="false" customHeight="false" outlineLevel="0" collapsed="false">
      <c r="A64" s="58" t="s">
        <v>349</v>
      </c>
      <c r="B64" s="58"/>
      <c r="C64" s="58"/>
      <c r="D64" s="58"/>
    </row>
    <row r="65" customFormat="false" ht="15" hidden="false" customHeight="false" outlineLevel="0" collapsed="false">
      <c r="A65" s="58" t="s">
        <v>350</v>
      </c>
      <c r="B65" s="58"/>
      <c r="C65" s="58"/>
      <c r="D65" s="58"/>
    </row>
    <row r="66" customFormat="false" ht="15" hidden="false" customHeight="false" outlineLevel="0" collapsed="false">
      <c r="A66" s="58" t="s">
        <v>351</v>
      </c>
      <c r="B66" s="58"/>
      <c r="C66" s="58"/>
      <c r="D66" s="58"/>
    </row>
    <row r="67" customFormat="false" ht="15" hidden="false" customHeight="false" outlineLevel="0" collapsed="false">
      <c r="A67" s="58" t="s">
        <v>352</v>
      </c>
      <c r="B67" s="58"/>
      <c r="C67" s="58"/>
      <c r="D67" s="58"/>
    </row>
    <row r="69" customFormat="false" ht="15" hidden="false" customHeight="false" outlineLevel="0" collapsed="false">
      <c r="A69" s="40" t="s">
        <v>207</v>
      </c>
      <c r="B69" s="41"/>
      <c r="C69" s="41"/>
      <c r="D69" s="41"/>
    </row>
    <row r="70" customFormat="false" ht="15" hidden="false" customHeight="false" outlineLevel="0" collapsed="false">
      <c r="A70" s="16" t="s">
        <v>353</v>
      </c>
      <c r="B70" s="16"/>
      <c r="C70" s="16"/>
      <c r="D70" s="16"/>
    </row>
    <row r="71" customFormat="false" ht="15" hidden="false" customHeight="false" outlineLevel="0" collapsed="false">
      <c r="A71" s="16" t="s">
        <v>354</v>
      </c>
      <c r="B71" s="16"/>
      <c r="C71" s="16"/>
      <c r="D71" s="16"/>
    </row>
    <row r="72" customFormat="false" ht="15" hidden="false" customHeight="false" outlineLevel="0" collapsed="false">
      <c r="A72" s="16" t="s">
        <v>355</v>
      </c>
      <c r="B72" s="16"/>
      <c r="C72" s="16"/>
      <c r="D72" s="16"/>
    </row>
    <row r="73" customFormat="false" ht="15" hidden="false" customHeight="false" outlineLevel="0" collapsed="false">
      <c r="A73" s="16" t="s">
        <v>356</v>
      </c>
      <c r="B73" s="16"/>
      <c r="C73" s="16"/>
      <c r="D73" s="16"/>
    </row>
    <row r="74" customFormat="false" ht="15" hidden="false" customHeight="false" outlineLevel="0" collapsed="false">
      <c r="A74" s="16" t="s">
        <v>357</v>
      </c>
      <c r="B74" s="16"/>
      <c r="C74" s="16"/>
      <c r="D74" s="16"/>
    </row>
    <row r="75" customFormat="false" ht="15" hidden="false" customHeight="false" outlineLevel="0" collapsed="false">
      <c r="A75" s="16" t="s">
        <v>358</v>
      </c>
      <c r="B75" s="16"/>
      <c r="C75" s="16"/>
      <c r="D75" s="16"/>
    </row>
  </sheetData>
  <mergeCells count="16">
    <mergeCell ref="A3:D3"/>
    <mergeCell ref="A57:D57"/>
    <mergeCell ref="A58:D58"/>
    <mergeCell ref="A59:D59"/>
    <mergeCell ref="A60:D60"/>
    <mergeCell ref="A61:D61"/>
    <mergeCell ref="A64:D64"/>
    <mergeCell ref="A65:D65"/>
    <mergeCell ref="A66:D66"/>
    <mergeCell ref="A67:D67"/>
    <mergeCell ref="A70:D70"/>
    <mergeCell ref="A71:D71"/>
    <mergeCell ref="A72:D72"/>
    <mergeCell ref="A73:D73"/>
    <mergeCell ref="A74:D74"/>
    <mergeCell ref="A75:D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80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1" t="s">
        <v>359</v>
      </c>
    </row>
    <row r="2" customFormat="false" ht="15" hidden="false" customHeight="false" outlineLevel="0" collapsed="false">
      <c r="A2" s="13" t="s">
        <v>320</v>
      </c>
    </row>
    <row r="3" customFormat="false" ht="42" hidden="false" customHeight="true" outlineLevel="0" collapsed="false">
      <c r="A3" s="39" t="s">
        <v>360</v>
      </c>
      <c r="B3" s="39"/>
      <c r="C3" s="39"/>
      <c r="D3" s="39"/>
    </row>
    <row r="4" customFormat="false" ht="15" hidden="false" customHeight="false" outlineLevel="0" collapsed="false">
      <c r="A4" s="2" t="s">
        <v>116</v>
      </c>
    </row>
    <row r="6" customFormat="false" ht="15" hidden="false" customHeight="false" outlineLevel="0" collapsed="false">
      <c r="A6" s="24" t="s">
        <v>117</v>
      </c>
      <c r="B6" s="24" t="s">
        <v>64</v>
      </c>
      <c r="C6" s="24" t="s">
        <v>65</v>
      </c>
      <c r="D6" s="24" t="s">
        <v>66</v>
      </c>
    </row>
    <row r="7" customFormat="false" ht="15" hidden="false" customHeight="false" outlineLevel="0" collapsed="false">
      <c r="A7" s="40" t="s">
        <v>118</v>
      </c>
      <c r="B7" s="41"/>
      <c r="C7" s="41"/>
      <c r="D7" s="41"/>
    </row>
    <row r="8" customFormat="false" ht="22.35" hidden="false" customHeight="false" outlineLevel="0" collapsed="false">
      <c r="A8" s="25" t="s">
        <v>361</v>
      </c>
      <c r="B8" s="60" t="n">
        <v>350</v>
      </c>
      <c r="C8" s="25" t="s">
        <v>96</v>
      </c>
      <c r="D8" s="27" t="s">
        <v>362</v>
      </c>
    </row>
    <row r="9" customFormat="false" ht="22.35" hidden="false" customHeight="false" outlineLevel="0" collapsed="false">
      <c r="A9" s="25" t="s">
        <v>363</v>
      </c>
      <c r="B9" s="45" t="n">
        <v>0.15</v>
      </c>
      <c r="C9" s="25" t="s">
        <v>70</v>
      </c>
      <c r="D9" s="27" t="s">
        <v>364</v>
      </c>
    </row>
    <row r="10" customFormat="false" ht="22.35" hidden="false" customHeight="false" outlineLevel="0" collapsed="false">
      <c r="A10" s="25" t="s">
        <v>365</v>
      </c>
      <c r="B10" s="60" t="n">
        <v>40</v>
      </c>
      <c r="C10" s="25" t="s">
        <v>96</v>
      </c>
      <c r="D10" s="27" t="s">
        <v>366</v>
      </c>
    </row>
    <row r="11" customFormat="false" ht="22.35" hidden="false" customHeight="false" outlineLevel="0" collapsed="false">
      <c r="A11" s="25" t="s">
        <v>367</v>
      </c>
      <c r="B11" s="49" t="n">
        <v>4.5</v>
      </c>
      <c r="C11" s="25" t="s">
        <v>101</v>
      </c>
      <c r="D11" s="27" t="s">
        <v>368</v>
      </c>
    </row>
    <row r="12" customFormat="false" ht="22.35" hidden="false" customHeight="false" outlineLevel="0" collapsed="false">
      <c r="A12" s="25" t="s">
        <v>369</v>
      </c>
      <c r="B12" s="60" t="n">
        <v>7</v>
      </c>
      <c r="C12" s="25" t="s">
        <v>96</v>
      </c>
      <c r="D12" s="27" t="s">
        <v>370</v>
      </c>
    </row>
    <row r="13" customFormat="false" ht="22.35" hidden="false" customHeight="false" outlineLevel="0" collapsed="false">
      <c r="A13" s="25" t="s">
        <v>371</v>
      </c>
      <c r="B13" s="42" t="n">
        <v>20</v>
      </c>
      <c r="C13" s="25" t="s">
        <v>96</v>
      </c>
      <c r="D13" s="27" t="s">
        <v>372</v>
      </c>
    </row>
    <row r="14" customFormat="false" ht="32.8" hidden="false" customHeight="false" outlineLevel="0" collapsed="false">
      <c r="A14" s="25" t="s">
        <v>239</v>
      </c>
      <c r="B14" s="44" t="n">
        <v>383</v>
      </c>
      <c r="C14" s="25" t="s">
        <v>240</v>
      </c>
      <c r="D14" s="27" t="s">
        <v>373</v>
      </c>
    </row>
    <row r="15" customFormat="false" ht="15" hidden="false" customHeight="false" outlineLevel="0" collapsed="false">
      <c r="A15" s="25" t="s">
        <v>374</v>
      </c>
      <c r="B15" s="60" t="n">
        <v>205</v>
      </c>
      <c r="C15" s="25" t="s">
        <v>96</v>
      </c>
      <c r="D15" s="27" t="s">
        <v>375</v>
      </c>
    </row>
    <row r="16" customFormat="false" ht="15" hidden="false" customHeight="false" outlineLevel="0" collapsed="false">
      <c r="A16" s="25" t="s">
        <v>242</v>
      </c>
      <c r="B16" s="11" t="n">
        <f aca="false">Параметры!$B$9</f>
        <v>0.19</v>
      </c>
      <c r="C16" s="25" t="s">
        <v>70</v>
      </c>
      <c r="D16" s="27" t="s">
        <v>132</v>
      </c>
    </row>
    <row r="17" customFormat="false" ht="15" hidden="false" customHeight="false" outlineLevel="0" collapsed="false">
      <c r="A17" s="25" t="s">
        <v>95</v>
      </c>
      <c r="B17" s="46" t="n">
        <f aca="false">Параметры!$B$17</f>
        <v>778</v>
      </c>
      <c r="C17" s="25" t="s">
        <v>96</v>
      </c>
      <c r="D17" s="27" t="s">
        <v>132</v>
      </c>
    </row>
    <row r="18" customFormat="false" ht="32.8" hidden="false" customHeight="false" outlineLevel="0" collapsed="false">
      <c r="A18" s="25" t="s">
        <v>133</v>
      </c>
      <c r="B18" s="45" t="n">
        <v>0.4</v>
      </c>
      <c r="C18" s="25" t="s">
        <v>70</v>
      </c>
      <c r="D18" s="27" t="s">
        <v>376</v>
      </c>
    </row>
    <row r="19" customFormat="false" ht="15" hidden="false" customHeight="false" outlineLevel="0" collapsed="false">
      <c r="A19" s="25" t="s">
        <v>135</v>
      </c>
      <c r="B19" s="47" t="n">
        <f aca="false">Параметры!$B$22</f>
        <v>16.9666666666667</v>
      </c>
      <c r="C19" s="25" t="s">
        <v>101</v>
      </c>
      <c r="D19" s="27" t="s">
        <v>136</v>
      </c>
    </row>
    <row r="20" customFormat="false" ht="15" hidden="false" customHeight="false" outlineLevel="0" collapsed="false">
      <c r="A20" s="25" t="s">
        <v>109</v>
      </c>
      <c r="B20" s="47" t="n">
        <f aca="false">Параметры!$B$23</f>
        <v>1</v>
      </c>
      <c r="C20" s="25" t="s">
        <v>101</v>
      </c>
      <c r="D20" s="27" t="s">
        <v>137</v>
      </c>
    </row>
    <row r="21" customFormat="false" ht="15" hidden="false" customHeight="false" outlineLevel="0" collapsed="false">
      <c r="A21" s="25" t="s">
        <v>98</v>
      </c>
      <c r="B21" s="48" t="n">
        <f aca="false">Параметры!$B$18</f>
        <v>4</v>
      </c>
      <c r="C21" s="25" t="s">
        <v>93</v>
      </c>
      <c r="D21" s="27" t="s">
        <v>132</v>
      </c>
    </row>
    <row r="22" customFormat="false" ht="15" hidden="false" customHeight="false" outlineLevel="0" collapsed="false">
      <c r="A22" s="25" t="s">
        <v>138</v>
      </c>
      <c r="B22" s="11" t="n">
        <f aca="false">Параметры!$B$15</f>
        <v>0.5</v>
      </c>
      <c r="C22" s="25" t="s">
        <v>70</v>
      </c>
      <c r="D22" s="27" t="s">
        <v>132</v>
      </c>
    </row>
    <row r="23" customFormat="false" ht="15" hidden="false" customHeight="false" outlineLevel="0" collapsed="false">
      <c r="A23" s="25" t="s">
        <v>92</v>
      </c>
      <c r="B23" s="48" t="n">
        <f aca="false">Параметры!$B$16</f>
        <v>5</v>
      </c>
      <c r="C23" s="25" t="s">
        <v>93</v>
      </c>
      <c r="D23" s="27" t="s">
        <v>132</v>
      </c>
    </row>
    <row r="24" customFormat="false" ht="22.35" hidden="false" customHeight="false" outlineLevel="0" collapsed="false">
      <c r="A24" s="25" t="s">
        <v>377</v>
      </c>
      <c r="B24" s="49" t="n">
        <v>10</v>
      </c>
      <c r="C24" s="25" t="s">
        <v>101</v>
      </c>
      <c r="D24" s="27" t="s">
        <v>378</v>
      </c>
    </row>
    <row r="25" customFormat="false" ht="15" hidden="false" customHeight="false" outlineLevel="0" collapsed="false">
      <c r="A25" s="25" t="s">
        <v>141</v>
      </c>
      <c r="B25" s="43" t="n">
        <v>0.12</v>
      </c>
      <c r="C25" s="25" t="s">
        <v>70</v>
      </c>
      <c r="D25" s="27" t="s">
        <v>379</v>
      </c>
    </row>
    <row r="27" customFormat="false" ht="15" hidden="false" customHeight="false" outlineLevel="0" collapsed="false">
      <c r="A27" s="40" t="s">
        <v>143</v>
      </c>
      <c r="B27" s="41"/>
      <c r="C27" s="41"/>
      <c r="D27" s="41"/>
    </row>
    <row r="28" customFormat="false" ht="15" hidden="false" customHeight="false" outlineLevel="0" collapsed="false">
      <c r="A28" s="25" t="s">
        <v>380</v>
      </c>
      <c r="B28" s="50" t="n">
        <f aca="false">$B$8*(1+$B$9)</f>
        <v>402.5</v>
      </c>
      <c r="C28" s="25" t="s">
        <v>96</v>
      </c>
      <c r="D28" s="27"/>
    </row>
    <row r="29" customFormat="false" ht="15" hidden="false" customHeight="false" outlineLevel="0" collapsed="false">
      <c r="A29" s="25" t="s">
        <v>381</v>
      </c>
      <c r="B29" s="50" t="n">
        <f aca="false">$B$28-$B$10</f>
        <v>362.5</v>
      </c>
      <c r="C29" s="25" t="s">
        <v>96</v>
      </c>
      <c r="D29" s="27"/>
    </row>
    <row r="30" customFormat="false" ht="15" hidden="false" customHeight="false" outlineLevel="0" collapsed="false">
      <c r="A30" s="25" t="s">
        <v>249</v>
      </c>
      <c r="B30" s="50" t="n">
        <f aca="false">$B$29*$B$11</f>
        <v>1631.25</v>
      </c>
      <c r="C30" s="25" t="s">
        <v>96</v>
      </c>
      <c r="D30" s="27"/>
    </row>
    <row r="31" customFormat="false" ht="15" hidden="false" customHeight="false" outlineLevel="0" collapsed="false">
      <c r="A31" s="25" t="s">
        <v>296</v>
      </c>
      <c r="B31" s="50" t="n">
        <f aca="false">$B$30-$B$12-$B$13</f>
        <v>1604.25</v>
      </c>
      <c r="C31" s="25" t="s">
        <v>96</v>
      </c>
      <c r="D31" s="27"/>
    </row>
    <row r="32" customFormat="false" ht="15" hidden="false" customHeight="false" outlineLevel="0" collapsed="false">
      <c r="A32" s="25" t="s">
        <v>382</v>
      </c>
      <c r="B32" s="12" t="n">
        <f aca="false">IF($B$14&gt;0,$B$31*1000/$B$14,0)</f>
        <v>4188.64229765013</v>
      </c>
      <c r="C32" s="25" t="s">
        <v>85</v>
      </c>
      <c r="D32" s="27"/>
    </row>
    <row r="33" customFormat="false" ht="15" hidden="false" customHeight="false" outlineLevel="0" collapsed="false">
      <c r="A33" s="25" t="s">
        <v>150</v>
      </c>
      <c r="B33" s="50" t="n">
        <f aca="false">$B$17*$B$18</f>
        <v>311.2</v>
      </c>
      <c r="C33" s="25" t="s">
        <v>96</v>
      </c>
      <c r="D33" s="27"/>
    </row>
    <row r="34" customFormat="false" ht="15" hidden="false" customHeight="false" outlineLevel="0" collapsed="false">
      <c r="A34" s="25" t="s">
        <v>151</v>
      </c>
      <c r="B34" s="50" t="n">
        <f aca="false">$B$33*$B$19*$B$20</f>
        <v>5280.02666666667</v>
      </c>
      <c r="C34" s="25" t="s">
        <v>96</v>
      </c>
      <c r="D34" s="27" t="s">
        <v>152</v>
      </c>
    </row>
    <row r="35" customFormat="false" ht="15" hidden="false" customHeight="false" outlineLevel="0" collapsed="false">
      <c r="A35" s="25" t="s">
        <v>153</v>
      </c>
      <c r="B35" s="50" t="n">
        <f aca="false">$B$34/(1+$B$16)^$B$21</f>
        <v>2632.98430526707</v>
      </c>
      <c r="C35" s="25" t="s">
        <v>96</v>
      </c>
      <c r="D35" s="27"/>
    </row>
    <row r="36" customFormat="false" ht="15" hidden="false" customHeight="false" outlineLevel="0" collapsed="false">
      <c r="A36" s="25" t="s">
        <v>154</v>
      </c>
      <c r="B36" s="12" t="n">
        <f aca="false">IF($B$14&gt;0,$B$35*1000/$B$14,0)</f>
        <v>6874.63265082786</v>
      </c>
      <c r="C36" s="25" t="s">
        <v>85</v>
      </c>
      <c r="D36" s="27"/>
    </row>
    <row r="37" customFormat="false" ht="15" hidden="false" customHeight="false" outlineLevel="0" collapsed="false">
      <c r="A37" s="25" t="s">
        <v>155</v>
      </c>
      <c r="B37" s="12" t="n">
        <f aca="false">$B$32+$B$36</f>
        <v>11063.274948478</v>
      </c>
      <c r="C37" s="25" t="s">
        <v>85</v>
      </c>
      <c r="D37" s="27"/>
    </row>
    <row r="38" customFormat="false" ht="15" hidden="false" customHeight="false" outlineLevel="0" collapsed="false">
      <c r="A38" s="25" t="s">
        <v>156</v>
      </c>
      <c r="B38" s="12" t="n">
        <f aca="false">(($B$8*(1+$B$9)-$B$10)*$B$24-$B$12-$B$13)*1000/$B$14</f>
        <v>9394.25587467363</v>
      </c>
      <c r="C38" s="25" t="s">
        <v>85</v>
      </c>
      <c r="D38" s="27" t="s">
        <v>157</v>
      </c>
    </row>
    <row r="39" customFormat="false" ht="15" hidden="false" customHeight="false" outlineLevel="0" collapsed="false">
      <c r="A39" s="25" t="s">
        <v>158</v>
      </c>
      <c r="B39" s="12" t="n">
        <f aca="false">$B$22*($B$38-$B$32)*((1+$B$25)/(1+$B$16))^$B$23</f>
        <v>1922.19408790498</v>
      </c>
      <c r="C39" s="25" t="s">
        <v>85</v>
      </c>
      <c r="D39" s="27" t="s">
        <v>159</v>
      </c>
    </row>
    <row r="40" customFormat="false" ht="15" hidden="false" customHeight="false" outlineLevel="0" collapsed="false">
      <c r="A40" s="25" t="s">
        <v>160</v>
      </c>
      <c r="B40" s="12" t="n">
        <f aca="false">$B$37+$B$39</f>
        <v>12985.469036383</v>
      </c>
      <c r="C40" s="25" t="s">
        <v>85</v>
      </c>
      <c r="D40" s="27"/>
    </row>
    <row r="42" customFormat="false" ht="15" hidden="false" customHeight="false" outlineLevel="0" collapsed="false">
      <c r="A42" s="40" t="s">
        <v>161</v>
      </c>
      <c r="B42" s="41"/>
      <c r="C42" s="41"/>
      <c r="D42" s="41"/>
    </row>
    <row r="43" customFormat="false" ht="15" hidden="false" customHeight="false" outlineLevel="0" collapsed="false">
      <c r="A43" s="13" t="s">
        <v>162</v>
      </c>
      <c r="B43" s="51" t="n">
        <f aca="false">$B$40</f>
        <v>12985.469036383</v>
      </c>
      <c r="C43" s="25" t="s">
        <v>85</v>
      </c>
      <c r="D43" s="2" t="s">
        <v>163</v>
      </c>
    </row>
    <row r="44" customFormat="false" ht="15" hidden="false" customHeight="false" outlineLevel="0" collapsed="false">
      <c r="A44" s="25" t="s">
        <v>164</v>
      </c>
      <c r="B44" s="7" t="n">
        <f aca="false">Сводка!$D$9</f>
        <v>3400</v>
      </c>
      <c r="C44" s="25" t="s">
        <v>85</v>
      </c>
      <c r="D44" s="2" t="s">
        <v>165</v>
      </c>
    </row>
    <row r="45" customFormat="false" ht="15" hidden="false" customHeight="false" outlineLevel="0" collapsed="false">
      <c r="A45" s="25" t="s">
        <v>166</v>
      </c>
      <c r="B45" s="52" t="n">
        <f aca="false">$B$43*(1-Параметры!$B$10)</f>
        <v>9998.81115801489</v>
      </c>
      <c r="C45" s="25" t="s">
        <v>85</v>
      </c>
      <c r="D45" s="2" t="s">
        <v>167</v>
      </c>
    </row>
    <row r="46" customFormat="false" ht="15" hidden="false" customHeight="false" outlineLevel="0" collapsed="false">
      <c r="A46" s="25" t="s">
        <v>168</v>
      </c>
      <c r="B46" s="52" t="n">
        <f aca="false">$B$43*(1+Параметры!$B$11)</f>
        <v>15322.8534629319</v>
      </c>
      <c r="C46" s="25" t="s">
        <v>85</v>
      </c>
      <c r="D46" s="2" t="s">
        <v>169</v>
      </c>
    </row>
    <row r="47" customFormat="false" ht="15" hidden="false" customHeight="false" outlineLevel="0" collapsed="false">
      <c r="A47" s="25" t="s">
        <v>170</v>
      </c>
      <c r="B47" s="7" t="n">
        <f aca="false">$B$46*(1-Параметры!$B$12)</f>
        <v>14556.7107897853</v>
      </c>
      <c r="C47" s="25" t="s">
        <v>85</v>
      </c>
      <c r="D47" s="2" t="s">
        <v>171</v>
      </c>
    </row>
    <row r="48" customFormat="false" ht="15" hidden="false" customHeight="false" outlineLevel="0" collapsed="false">
      <c r="A48" s="25" t="s">
        <v>172</v>
      </c>
      <c r="B48" s="8" t="n">
        <f aca="false">IF($B$44&gt;0,$B$43/$B$44-1,0)</f>
        <v>2.81925559893617</v>
      </c>
      <c r="C48" s="25" t="s">
        <v>70</v>
      </c>
      <c r="D48" s="2"/>
    </row>
    <row r="49" customFormat="false" ht="15" hidden="false" customHeight="false" outlineLevel="0" collapsed="false">
      <c r="A49" s="25" t="s">
        <v>173</v>
      </c>
      <c r="B49" s="8" t="n">
        <f aca="false">IF($B$44&gt;0,$B$46/$B$44-1,0)</f>
        <v>3.50672160674468</v>
      </c>
      <c r="C49" s="25" t="s">
        <v>70</v>
      </c>
      <c r="D49" s="2"/>
    </row>
    <row r="50" customFormat="false" ht="15" hidden="false" customHeight="false" outlineLevel="0" collapsed="false">
      <c r="A50" s="13" t="s">
        <v>11</v>
      </c>
      <c r="B50" s="4" t="str">
        <f aca="false">IF($B$44&lt;=$B$45,"ЗОНА ПОКУПКИ",IF($B$44&gt;=$B$46,"ЦЕНА ПРОДАЖИ",IF($B$44&gt;=$B$47,"ПРИБЛИЖАЕТСЯ К ПРОДАЖЕ","ДЕРЖАТЬ")))</f>
        <v>ЗОНА ПОКУПКИ</v>
      </c>
      <c r="C50" s="25"/>
      <c r="D50" s="2" t="s">
        <v>174</v>
      </c>
    </row>
    <row r="52" customFormat="false" ht="15" hidden="false" customHeight="false" outlineLevel="0" collapsed="false">
      <c r="A52" s="40" t="s">
        <v>175</v>
      </c>
      <c r="B52" s="41"/>
      <c r="C52" s="41"/>
      <c r="D52" s="41"/>
    </row>
    <row r="53" customFormat="false" ht="15" hidden="false" customHeight="false" outlineLevel="0" collapsed="false">
      <c r="A53" s="25" t="s">
        <v>176</v>
      </c>
      <c r="B53" s="8" t="n">
        <f aca="false">IF($B$43&gt;0,$B$36/$B$43,0)</f>
        <v>0.529409652555974</v>
      </c>
      <c r="C53" s="25" t="s">
        <v>70</v>
      </c>
      <c r="D53" s="27"/>
    </row>
    <row r="54" customFormat="false" ht="22.35" hidden="false" customHeight="false" outlineLevel="0" collapsed="false">
      <c r="A54" s="25" t="s">
        <v>177</v>
      </c>
      <c r="B54" s="7" t="n">
        <f aca="false">IF($B$20&gt;0,$B$36/$B$20*Параметры!$B$24,0)</f>
        <v>1374.92653016557</v>
      </c>
      <c r="C54" s="25" t="s">
        <v>85</v>
      </c>
      <c r="D54" s="27" t="s">
        <v>178</v>
      </c>
    </row>
    <row r="55" customFormat="false" ht="15" hidden="false" customHeight="false" outlineLevel="0" collapsed="false">
      <c r="A55" s="25" t="s">
        <v>179</v>
      </c>
      <c r="B55" s="12" t="n">
        <f aca="false">$B$32+$B$54</f>
        <v>5563.5688278157</v>
      </c>
      <c r="C55" s="25" t="s">
        <v>85</v>
      </c>
      <c r="D55" s="27" t="s">
        <v>180</v>
      </c>
    </row>
    <row r="56" customFormat="false" ht="15" hidden="false" customHeight="false" outlineLevel="0" collapsed="false">
      <c r="A56" s="25" t="s">
        <v>383</v>
      </c>
      <c r="B56" s="53" t="n">
        <f aca="false">IF($B$15&gt;0,$B$32*$B$14/1000/$B$15,0)</f>
        <v>7.82560975609756</v>
      </c>
      <c r="C56" s="25" t="s">
        <v>101</v>
      </c>
      <c r="D56" s="27" t="s">
        <v>384</v>
      </c>
    </row>
    <row r="57" customFormat="false" ht="15" hidden="false" customHeight="false" outlineLevel="0" collapsed="false">
      <c r="A57" s="25" t="s">
        <v>385</v>
      </c>
      <c r="B57" s="53" t="n">
        <f aca="false">IF($B$8&gt;0,($B$44*$B$14/1000+$B$12)/$B$8,0)</f>
        <v>3.74057142857143</v>
      </c>
      <c r="C57" s="25" t="s">
        <v>101</v>
      </c>
      <c r="D57" s="27" t="s">
        <v>386</v>
      </c>
    </row>
    <row r="58" customFormat="false" ht="15" hidden="false" customHeight="false" outlineLevel="0" collapsed="false">
      <c r="A58" s="25" t="s">
        <v>387</v>
      </c>
      <c r="B58" s="53" t="n">
        <f aca="false">IF($B$29&gt;0,($B$44*$B$14/1000+$B$12)/$B$29,0)</f>
        <v>3.61158620689655</v>
      </c>
      <c r="C58" s="25" t="s">
        <v>101</v>
      </c>
      <c r="D58" s="27" t="s">
        <v>388</v>
      </c>
    </row>
    <row r="59" customFormat="false" ht="15" hidden="false" customHeight="false" outlineLevel="0" collapsed="false">
      <c r="A59" s="25" t="s">
        <v>389</v>
      </c>
      <c r="B59" s="8" t="n">
        <f aca="false">IF($B$44&gt;0,220/$B$44,0)</f>
        <v>0.0647058823529412</v>
      </c>
      <c r="C59" s="25" t="s">
        <v>70</v>
      </c>
      <c r="D59" s="27" t="s">
        <v>390</v>
      </c>
    </row>
    <row r="60" customFormat="false" ht="15" hidden="false" customHeight="false" outlineLevel="0" collapsed="false">
      <c r="A60" s="25" t="s">
        <v>391</v>
      </c>
      <c r="B60" s="12" t="n">
        <f aca="false">5034</f>
        <v>5034</v>
      </c>
      <c r="C60" s="25" t="s">
        <v>85</v>
      </c>
      <c r="D60" s="27" t="s">
        <v>392</v>
      </c>
    </row>
    <row r="62" customFormat="false" ht="15" hidden="false" customHeight="false" outlineLevel="0" collapsed="false">
      <c r="A62" s="40" t="s">
        <v>393</v>
      </c>
      <c r="B62" s="41"/>
      <c r="C62" s="41"/>
      <c r="D62" s="41"/>
      <c r="E62" s="41"/>
      <c r="F62" s="41"/>
      <c r="G62" s="41"/>
    </row>
    <row r="63" customFormat="false" ht="15" hidden="false" customHeight="false" outlineLevel="0" collapsed="false">
      <c r="A63" s="13" t="s">
        <v>394</v>
      </c>
      <c r="B63" s="63" t="n">
        <v>0.05</v>
      </c>
      <c r="C63" s="63" t="n">
        <v>0.1</v>
      </c>
      <c r="D63" s="63" t="n">
        <v>0.15</v>
      </c>
      <c r="E63" s="63" t="n">
        <v>0.2</v>
      </c>
      <c r="F63" s="63" t="n">
        <v>0.25</v>
      </c>
    </row>
    <row r="64" customFormat="false" ht="15" hidden="false" customHeight="false" outlineLevel="0" collapsed="false">
      <c r="A64" s="64" t="n">
        <v>3.5</v>
      </c>
      <c r="B64" s="10" t="n">
        <f aca="false">((($B$8*(1+B$63)-$B$10)*$A64-$B$12-$B$13+$B$17*$B$18*$B$19*$B$20/(1+$B$16)^$B$21)*1000/$B$14)+$B$22*(((($B$8*(1+B$63)-$B$10)*$B$24-$B$12-$B$13)*1000/$B$14)-((($B$8*(1+B$63)-$B$10)*$A64-$B$12-$B$13)*1000/$B$14))*((1+$B$25)/(1+$B$16))^$B$23</f>
        <v>11849.3053333163</v>
      </c>
      <c r="C64" s="10" t="n">
        <f aca="false">((($B$8*(1+C$63)-$B$10)*$A64-$B$12-$B$13+$B$17*$B$18*$B$19*$B$20/(1+$B$16)^$B$21)*1000/$B$14)+$B$22*(((($B$8*(1+C$63)-$B$10)*$B$24-$B$12-$B$13)*1000/$B$14)-((($B$8*(1+C$63)-$B$10)*$A64-$B$12-$B$13)*1000/$B$14))*((1+$B$25)/(1+$B$16))^$B$23</f>
        <v>12118.8945040207</v>
      </c>
      <c r="D64" s="10" t="n">
        <f aca="false">((($B$8*(1+D$63)-$B$10)*$A64-$B$12-$B$13+$B$17*$B$18*$B$19*$B$20/(1+$B$16)^$B$21)*1000/$B$14)+$B$22*(((($B$8*(1+D$63)-$B$10)*$B$24-$B$12-$B$13)*1000/$B$14)-((($B$8*(1+D$63)-$B$10)*$A64-$B$12-$B$13)*1000/$B$14))*((1+$B$25)/(1+$B$16))^$B$23</f>
        <v>12388.4836747251</v>
      </c>
      <c r="E64" s="10" t="n">
        <f aca="false">((($B$8*(1+E$63)-$B$10)*$A64-$B$12-$B$13+$B$17*$B$18*$B$19*$B$20/(1+$B$16)^$B$21)*1000/$B$14)+$B$22*(((($B$8*(1+E$63)-$B$10)*$B$24-$B$12-$B$13)*1000/$B$14)-((($B$8*(1+E$63)-$B$10)*$A64-$B$12-$B$13)*1000/$B$14))*((1+$B$25)/(1+$B$16))^$B$23</f>
        <v>12658.0728454295</v>
      </c>
      <c r="F64" s="10" t="n">
        <f aca="false">((($B$8*(1+F$63)-$B$10)*$A64-$B$12-$B$13+$B$17*$B$18*$B$19*$B$20/(1+$B$16)^$B$21)*1000/$B$14)+$B$22*(((($B$8*(1+F$63)-$B$10)*$B$24-$B$12-$B$13)*1000/$B$14)-((($B$8*(1+F$63)-$B$10)*$A64-$B$12-$B$13)*1000/$B$14))*((1+$B$25)/(1+$B$16))^$B$23</f>
        <v>12927.6620161338</v>
      </c>
    </row>
    <row r="65" customFormat="false" ht="15" hidden="false" customHeight="false" outlineLevel="0" collapsed="false">
      <c r="A65" s="64" t="n">
        <v>4</v>
      </c>
      <c r="B65" s="10" t="n">
        <f aca="false">((($B$8*(1+B$63)-$B$10)*$A65-$B$12-$B$13+$B$17*$B$18*$B$19*$B$20/(1+$B$16)^$B$21)*1000/$B$14)+$B$22*(((($B$8*(1+B$63)-$B$10)*$B$24-$B$12-$B$13)*1000/$B$14)-((($B$8*(1+B$63)-$B$10)*$A65-$B$12-$B$13)*1000/$B$14))*((1+$B$25)/(1+$B$16))^$B$23</f>
        <v>12118.9780311686</v>
      </c>
      <c r="C65" s="10" t="n">
        <f aca="false">((($B$8*(1+C$63)-$B$10)*$A65-$B$12-$B$13+$B$17*$B$18*$B$19*$B$20/(1+$B$16)^$B$21)*1000/$B$14)+$B$22*(((($B$8*(1+C$63)-$B$10)*$B$24-$B$12-$B$13)*1000/$B$14)-((($B$8*(1+C$63)-$B$10)*$A65-$B$12-$B$13)*1000/$B$14))*((1+$B$25)/(1+$B$16))^$B$23</f>
        <v>12402.9771933613</v>
      </c>
      <c r="D65" s="10" t="n">
        <f aca="false">((($B$8*(1+D$63)-$B$10)*$A65-$B$12-$B$13+$B$17*$B$18*$B$19*$B$20/(1+$B$16)^$B$21)*1000/$B$14)+$B$22*(((($B$8*(1+D$63)-$B$10)*$B$24-$B$12-$B$13)*1000/$B$14)-((($B$8*(1+D$63)-$B$10)*$A65-$B$12-$B$13)*1000/$B$14))*((1+$B$25)/(1+$B$16))^$B$23</f>
        <v>12686.976355554</v>
      </c>
      <c r="E65" s="10" t="n">
        <f aca="false">((($B$8*(1+E$63)-$B$10)*$A65-$B$12-$B$13+$B$17*$B$18*$B$19*$B$20/(1+$B$16)^$B$21)*1000/$B$14)+$B$22*(((($B$8*(1+E$63)-$B$10)*$B$24-$B$12-$B$13)*1000/$B$14)-((($B$8*(1+E$63)-$B$10)*$A65-$B$12-$B$13)*1000/$B$14))*((1+$B$25)/(1+$B$16))^$B$23</f>
        <v>12970.9755177467</v>
      </c>
      <c r="F65" s="10" t="n">
        <f aca="false">((($B$8*(1+F$63)-$B$10)*$A65-$B$12-$B$13+$B$17*$B$18*$B$19*$B$20/(1+$B$16)^$B$21)*1000/$B$14)+$B$22*(((($B$8*(1+F$63)-$B$10)*$B$24-$B$12-$B$13)*1000/$B$14)-((($B$8*(1+F$63)-$B$10)*$A65-$B$12-$B$13)*1000/$B$14))*((1+$B$25)/(1+$B$16))^$B$23</f>
        <v>13254.9746799394</v>
      </c>
    </row>
    <row r="66" customFormat="false" ht="15" hidden="false" customHeight="false" outlineLevel="0" collapsed="false">
      <c r="A66" s="64" t="n">
        <v>4.5</v>
      </c>
      <c r="B66" s="10" t="n">
        <f aca="false">((($B$8*(1+B$63)-$B$10)*$A66-$B$12-$B$13+$B$17*$B$18*$B$19*$B$20/(1+$B$16)^$B$21)*1000/$B$14)+$B$22*(((($B$8*(1+B$63)-$B$10)*$B$24-$B$12-$B$13)*1000/$B$14)-((($B$8*(1+B$63)-$B$10)*$A66-$B$12-$B$13)*1000/$B$14))*((1+$B$25)/(1+$B$16))^$B$23</f>
        <v>12388.650729021</v>
      </c>
      <c r="C66" s="10" t="n">
        <f aca="false">((($B$8*(1+C$63)-$B$10)*$A66-$B$12-$B$13+$B$17*$B$18*$B$19*$B$20/(1+$B$16)^$B$21)*1000/$B$14)+$B$22*(((($B$8*(1+C$63)-$B$10)*$B$24-$B$12-$B$13)*1000/$B$14)-((($B$8*(1+C$63)-$B$10)*$A66-$B$12-$B$13)*1000/$B$14))*((1+$B$25)/(1+$B$16))^$B$23</f>
        <v>12687.059882702</v>
      </c>
      <c r="D66" s="56" t="n">
        <f aca="false">((($B$8*(1+D$63)-$B$10)*$A66-$B$12-$B$13+$B$17*$B$18*$B$19*$B$20/(1+$B$16)^$B$21)*1000/$B$14)+$B$22*(((($B$8*(1+D$63)-$B$10)*$B$24-$B$12-$B$13)*1000/$B$14)-((($B$8*(1+D$63)-$B$10)*$A66-$B$12-$B$13)*1000/$B$14))*((1+$B$25)/(1+$B$16))^$B$23</f>
        <v>12985.469036383</v>
      </c>
      <c r="E66" s="10" t="n">
        <f aca="false">((($B$8*(1+E$63)-$B$10)*$A66-$B$12-$B$13+$B$17*$B$18*$B$19*$B$20/(1+$B$16)^$B$21)*1000/$B$14)+$B$22*(((($B$8*(1+E$63)-$B$10)*$B$24-$B$12-$B$13)*1000/$B$14)-((($B$8*(1+E$63)-$B$10)*$A66-$B$12-$B$13)*1000/$B$14))*((1+$B$25)/(1+$B$16))^$B$23</f>
        <v>13283.878190064</v>
      </c>
      <c r="F66" s="10" t="n">
        <f aca="false">((($B$8*(1+F$63)-$B$10)*$A66-$B$12-$B$13+$B$17*$B$18*$B$19*$B$20/(1+$B$16)^$B$21)*1000/$B$14)+$B$22*(((($B$8*(1+F$63)-$B$10)*$B$24-$B$12-$B$13)*1000/$B$14)-((($B$8*(1+F$63)-$B$10)*$A66-$B$12-$B$13)*1000/$B$14))*((1+$B$25)/(1+$B$16))^$B$23</f>
        <v>13582.2873437449</v>
      </c>
    </row>
    <row r="67" customFormat="false" ht="15" hidden="false" customHeight="false" outlineLevel="0" collapsed="false">
      <c r="A67" s="64" t="n">
        <v>5</v>
      </c>
      <c r="B67" s="10" t="n">
        <f aca="false">((($B$8*(1+B$63)-$B$10)*$A67-$B$12-$B$13+$B$17*$B$18*$B$19*$B$20/(1+$B$16)^$B$21)*1000/$B$14)+$B$22*(((($B$8*(1+B$63)-$B$10)*$B$24-$B$12-$B$13)*1000/$B$14)-((($B$8*(1+B$63)-$B$10)*$A67-$B$12-$B$13)*1000/$B$14))*((1+$B$25)/(1+$B$16))^$B$23</f>
        <v>12658.3234268734</v>
      </c>
      <c r="C67" s="10" t="n">
        <f aca="false">((($B$8*(1+C$63)-$B$10)*$A67-$B$12-$B$13+$B$17*$B$18*$B$19*$B$20/(1+$B$16)^$B$21)*1000/$B$14)+$B$22*(((($B$8*(1+C$63)-$B$10)*$B$24-$B$12-$B$13)*1000/$B$14)-((($B$8*(1+C$63)-$B$10)*$A67-$B$12-$B$13)*1000/$B$14))*((1+$B$25)/(1+$B$16))^$B$23</f>
        <v>12971.1425720427</v>
      </c>
      <c r="D67" s="10" t="n">
        <f aca="false">((($B$8*(1+D$63)-$B$10)*$A67-$B$12-$B$13+$B$17*$B$18*$B$19*$B$20/(1+$B$16)^$B$21)*1000/$B$14)+$B$22*(((($B$8*(1+D$63)-$B$10)*$B$24-$B$12-$B$13)*1000/$B$14)-((($B$8*(1+D$63)-$B$10)*$A67-$B$12-$B$13)*1000/$B$14))*((1+$B$25)/(1+$B$16))^$B$23</f>
        <v>13283.9617172119</v>
      </c>
      <c r="E67" s="10" t="n">
        <f aca="false">((($B$8*(1+E$63)-$B$10)*$A67-$B$12-$B$13+$B$17*$B$18*$B$19*$B$20/(1+$B$16)^$B$21)*1000/$B$14)+$B$22*(((($B$8*(1+E$63)-$B$10)*$B$24-$B$12-$B$13)*1000/$B$14)-((($B$8*(1+E$63)-$B$10)*$A67-$B$12-$B$13)*1000/$B$14))*((1+$B$25)/(1+$B$16))^$B$23</f>
        <v>13596.7808623812</v>
      </c>
      <c r="F67" s="10" t="n">
        <f aca="false">((($B$8*(1+F$63)-$B$10)*$A67-$B$12-$B$13+$B$17*$B$18*$B$19*$B$20/(1+$B$16)^$B$21)*1000/$B$14)+$B$22*(((($B$8*(1+F$63)-$B$10)*$B$24-$B$12-$B$13)*1000/$B$14)-((($B$8*(1+F$63)-$B$10)*$A67-$B$12-$B$13)*1000/$B$14))*((1+$B$25)/(1+$B$16))^$B$23</f>
        <v>13909.6000075505</v>
      </c>
    </row>
    <row r="68" customFormat="false" ht="15" hidden="false" customHeight="false" outlineLevel="0" collapsed="false">
      <c r="A68" s="64" t="n">
        <v>5.5</v>
      </c>
      <c r="B68" s="10" t="n">
        <f aca="false">((($B$8*(1+B$63)-$B$10)*$A68-$B$12-$B$13+$B$17*$B$18*$B$19*$B$20/(1+$B$16)^$B$21)*1000/$B$14)+$B$22*(((($B$8*(1+B$63)-$B$10)*$B$24-$B$12-$B$13)*1000/$B$14)-((($B$8*(1+B$63)-$B$10)*$A68-$B$12-$B$13)*1000/$B$14))*((1+$B$25)/(1+$B$16))^$B$23</f>
        <v>12927.9961247257</v>
      </c>
      <c r="C68" s="10" t="n">
        <f aca="false">((($B$8*(1+C$63)-$B$10)*$A68-$B$12-$B$13+$B$17*$B$18*$B$19*$B$20/(1+$B$16)^$B$21)*1000/$B$14)+$B$22*(((($B$8*(1+C$63)-$B$10)*$B$24-$B$12-$B$13)*1000/$B$14)-((($B$8*(1+C$63)-$B$10)*$A68-$B$12-$B$13)*1000/$B$14))*((1+$B$25)/(1+$B$16))^$B$23</f>
        <v>13255.2252613833</v>
      </c>
      <c r="D68" s="10" t="n">
        <f aca="false">((($B$8*(1+D$63)-$B$10)*$A68-$B$12-$B$13+$B$17*$B$18*$B$19*$B$20/(1+$B$16)^$B$21)*1000/$B$14)+$B$22*(((($B$8*(1+D$63)-$B$10)*$B$24-$B$12-$B$13)*1000/$B$14)-((($B$8*(1+D$63)-$B$10)*$A68-$B$12-$B$13)*1000/$B$14))*((1+$B$25)/(1+$B$16))^$B$23</f>
        <v>13582.4543980409</v>
      </c>
      <c r="E68" s="10" t="n">
        <f aca="false">((($B$8*(1+E$63)-$B$10)*$A68-$B$12-$B$13+$B$17*$B$18*$B$19*$B$20/(1+$B$16)^$B$21)*1000/$B$14)+$B$22*(((($B$8*(1+E$63)-$B$10)*$B$24-$B$12-$B$13)*1000/$B$14)-((($B$8*(1+E$63)-$B$10)*$A68-$B$12-$B$13)*1000/$B$14))*((1+$B$25)/(1+$B$16))^$B$23</f>
        <v>13909.6835346985</v>
      </c>
      <c r="F68" s="10" t="n">
        <f aca="false">((($B$8*(1+F$63)-$B$10)*$A68-$B$12-$B$13+$B$17*$B$18*$B$19*$B$20/(1+$B$16)^$B$21)*1000/$B$14)+$B$22*(((($B$8*(1+F$63)-$B$10)*$B$24-$B$12-$B$13)*1000/$B$14)-((($B$8*(1+F$63)-$B$10)*$A68-$B$12-$B$13)*1000/$B$14))*((1+$B$25)/(1+$B$16))^$B$23</f>
        <v>14236.912671356</v>
      </c>
    </row>
    <row r="69" customFormat="false" ht="15" hidden="false" customHeight="false" outlineLevel="0" collapsed="false">
      <c r="A69" s="2" t="s">
        <v>192</v>
      </c>
    </row>
    <row r="71" customFormat="false" ht="15" hidden="false" customHeight="false" outlineLevel="0" collapsed="false">
      <c r="A71" s="40" t="s">
        <v>395</v>
      </c>
      <c r="B71" s="41"/>
      <c r="C71" s="41"/>
      <c r="D71" s="41"/>
      <c r="E71" s="41"/>
      <c r="F71" s="41"/>
      <c r="G71" s="41"/>
    </row>
    <row r="72" customFormat="false" ht="15" hidden="false" customHeight="false" outlineLevel="0" collapsed="false">
      <c r="A72" s="13" t="s">
        <v>396</v>
      </c>
      <c r="B72" s="54" t="n">
        <v>400</v>
      </c>
      <c r="C72" s="54" t="n">
        <v>590</v>
      </c>
      <c r="D72" s="54" t="n">
        <v>778</v>
      </c>
      <c r="E72" s="54" t="n">
        <v>950</v>
      </c>
      <c r="F72" s="54" t="n">
        <v>1120</v>
      </c>
    </row>
    <row r="73" customFormat="false" ht="15" hidden="false" customHeight="false" outlineLevel="0" collapsed="false">
      <c r="A73" s="55" t="n">
        <v>0.2</v>
      </c>
      <c r="B73" s="10" t="n">
        <f aca="false">((($B$8*(1+$B$9)-$B$10)*$B$11-$B$12-$B$13+B$72*$A73*$B$19*$B$20/(1+$B$16)^$B$21)*1000/$B$14)+$B$22*(((($B$8*(1+$B$9)-$B$10)*$B$24-$B$12-$B$13)*1000/$B$14)-((($B$8*(1+$B$9)-$B$10)*$B$11-$B$12-$B$13)*1000/$B$14))*((1+$B$25)/(1+$B$16))^$B$23</f>
        <v>7878.0941364106</v>
      </c>
      <c r="C73" s="10" t="n">
        <f aca="false">((($B$8*(1+$B$9)-$B$10)*$B$11-$B$12-$B$13+C$72*$A73*$B$19*$B$20/(1+$B$16)^$B$21)*1000/$B$14)+$B$22*(((($B$8*(1+$B$9)-$B$10)*$B$24-$B$12-$B$13)*1000/$B$14)-((($B$8*(1+$B$9)-$B$10)*$B$11-$B$12-$B$13)*1000/$B$14))*((1+$B$25)/(1+$B$16))^$B$23</f>
        <v>8717.54156806696</v>
      </c>
      <c r="D73" s="10" t="n">
        <f aca="false">((($B$8*(1+$B$9)-$B$10)*$B$11-$B$12-$B$13+D$72*$A73*$B$19*$B$20/(1+$B$16)^$B$21)*1000/$B$14)+$B$22*(((($B$8*(1+$B$9)-$B$10)*$B$24-$B$12-$B$13)*1000/$B$14)-((($B$8*(1+$B$9)-$B$10)*$B$11-$B$12-$B$13)*1000/$B$14))*((1+$B$25)/(1+$B$16))^$B$23</f>
        <v>9548.15271096904</v>
      </c>
      <c r="E73" s="10" t="n">
        <f aca="false">((($B$8*(1+$B$9)-$B$10)*$B$11-$B$12-$B$13+E$72*$A73*$B$19*$B$20/(1+$B$16)^$B$21)*1000/$B$14)+$B$22*(((($B$8*(1+$B$9)-$B$10)*$B$24-$B$12-$B$13)*1000/$B$14)-((($B$8*(1+$B$9)-$B$10)*$B$11-$B$12-$B$13)*1000/$B$14))*((1+$B$25)/(1+$B$16))^$B$23</f>
        <v>10308.0735438369</v>
      </c>
      <c r="F73" s="10" t="n">
        <f aca="false">((($B$8*(1+$B$9)-$B$10)*$B$11-$B$12-$B$13+F$72*$A73*$B$19*$B$20/(1+$B$16)^$B$21)*1000/$B$14)+$B$22*(((($B$8*(1+$B$9)-$B$10)*$B$24-$B$12-$B$13)*1000/$B$14)-((($B$8*(1+$B$9)-$B$10)*$B$11-$B$12-$B$13)*1000/$B$14))*((1+$B$25)/(1+$B$16))^$B$23</f>
        <v>11059.1580879505</v>
      </c>
    </row>
    <row r="74" customFormat="false" ht="15" hidden="false" customHeight="false" outlineLevel="0" collapsed="false">
      <c r="A74" s="55" t="n">
        <v>0.3</v>
      </c>
      <c r="B74" s="10" t="n">
        <f aca="false">((($B$8*(1+$B$9)-$B$10)*$B$11-$B$12-$B$13+B$72*$A74*$B$19*$B$20/(1+$B$16)^$B$21)*1000/$B$14)+$B$22*(((($B$8*(1+$B$9)-$B$10)*$B$24-$B$12-$B$13)*1000/$B$14)-((($B$8*(1+$B$9)-$B$10)*$B$11-$B$12-$B$13)*1000/$B$14))*((1+$B$25)/(1+$B$16))^$B$23</f>
        <v>8761.72301183835</v>
      </c>
      <c r="C74" s="10" t="n">
        <f aca="false">((($B$8*(1+$B$9)-$B$10)*$B$11-$B$12-$B$13+C$72*$A74*$B$19*$B$20/(1+$B$16)^$B$21)*1000/$B$14)+$B$22*(((($B$8*(1+$B$9)-$B$10)*$B$24-$B$12-$B$13)*1000/$B$14)-((($B$8*(1+$B$9)-$B$10)*$B$11-$B$12-$B$13)*1000/$B$14))*((1+$B$25)/(1+$B$16))^$B$23</f>
        <v>10020.8941593229</v>
      </c>
      <c r="D74" s="10" t="n">
        <f aca="false">((($B$8*(1+$B$9)-$B$10)*$B$11-$B$12-$B$13+D$72*$A74*$B$19*$B$20/(1+$B$16)^$B$21)*1000/$B$14)+$B$22*(((($B$8*(1+$B$9)-$B$10)*$B$24-$B$12-$B$13)*1000/$B$14)-((($B$8*(1+$B$9)-$B$10)*$B$11-$B$12-$B$13)*1000/$B$14))*((1+$B$25)/(1+$B$16))^$B$23</f>
        <v>11266.810873676</v>
      </c>
      <c r="E74" s="10" t="n">
        <f aca="false">((($B$8*(1+$B$9)-$B$10)*$B$11-$B$12-$B$13+E$72*$A74*$B$19*$B$20/(1+$B$16)^$B$21)*1000/$B$14)+$B$22*(((($B$8*(1+$B$9)-$B$10)*$B$24-$B$12-$B$13)*1000/$B$14)-((($B$8*(1+$B$9)-$B$10)*$B$11-$B$12-$B$13)*1000/$B$14))*((1+$B$25)/(1+$B$16))^$B$23</f>
        <v>12406.6921229778</v>
      </c>
      <c r="F74" s="10" t="n">
        <f aca="false">((($B$8*(1+$B$9)-$B$10)*$B$11-$B$12-$B$13+F$72*$A74*$B$19*$B$20/(1+$B$16)^$B$21)*1000/$B$14)+$B$22*(((($B$8*(1+$B$9)-$B$10)*$B$24-$B$12-$B$13)*1000/$B$14)-((($B$8*(1+$B$9)-$B$10)*$B$11-$B$12-$B$13)*1000/$B$14))*((1+$B$25)/(1+$B$16))^$B$23</f>
        <v>13533.3189391482</v>
      </c>
    </row>
    <row r="75" customFormat="false" ht="15" hidden="false" customHeight="false" outlineLevel="0" collapsed="false">
      <c r="A75" s="55" t="n">
        <v>0.4</v>
      </c>
      <c r="B75" s="10" t="n">
        <f aca="false">((($B$8*(1+$B$9)-$B$10)*$B$11-$B$12-$B$13+B$72*$A75*$B$19*$B$20/(1+$B$16)^$B$21)*1000/$B$14)+$B$22*(((($B$8*(1+$B$9)-$B$10)*$B$24-$B$12-$B$13)*1000/$B$14)-((($B$8*(1+$B$9)-$B$10)*$B$11-$B$12-$B$13)*1000/$B$14))*((1+$B$25)/(1+$B$16))^$B$23</f>
        <v>9645.35188726609</v>
      </c>
      <c r="C75" s="10" t="n">
        <f aca="false">((($B$8*(1+$B$9)-$B$10)*$B$11-$B$12-$B$13+C$72*$A75*$B$19*$B$20/(1+$B$16)^$B$21)*1000/$B$14)+$B$22*(((($B$8*(1+$B$9)-$B$10)*$B$24-$B$12-$B$13)*1000/$B$14)-((($B$8*(1+$B$9)-$B$10)*$B$11-$B$12-$B$13)*1000/$B$14))*((1+$B$25)/(1+$B$16))^$B$23</f>
        <v>11324.2467505788</v>
      </c>
      <c r="D75" s="56" t="n">
        <f aca="false">((($B$8*(1+$B$9)-$B$10)*$B$11-$B$12-$B$13+D$72*$A75*$B$19*$B$20/(1+$B$16)^$B$21)*1000/$B$14)+$B$22*(((($B$8*(1+$B$9)-$B$10)*$B$24-$B$12-$B$13)*1000/$B$14)-((($B$8*(1+$B$9)-$B$10)*$B$11-$B$12-$B$13)*1000/$B$14))*((1+$B$25)/(1+$B$16))^$B$23</f>
        <v>12985.469036383</v>
      </c>
      <c r="E75" s="10" t="n">
        <f aca="false">((($B$8*(1+$B$9)-$B$10)*$B$11-$B$12-$B$13+E$72*$A75*$B$19*$B$20/(1+$B$16)^$B$21)*1000/$B$14)+$B$22*(((($B$8*(1+$B$9)-$B$10)*$B$24-$B$12-$B$13)*1000/$B$14)-((($B$8*(1+$B$9)-$B$10)*$B$11-$B$12-$B$13)*1000/$B$14))*((1+$B$25)/(1+$B$16))^$B$23</f>
        <v>14505.3107021187</v>
      </c>
      <c r="F75" s="10" t="n">
        <f aca="false">((($B$8*(1+$B$9)-$B$10)*$B$11-$B$12-$B$13+F$72*$A75*$B$19*$B$20/(1+$B$16)^$B$21)*1000/$B$14)+$B$22*(((($B$8*(1+$B$9)-$B$10)*$B$24-$B$12-$B$13)*1000/$B$14)-((($B$8*(1+$B$9)-$B$10)*$B$11-$B$12-$B$13)*1000/$B$14))*((1+$B$25)/(1+$B$16))^$B$23</f>
        <v>16007.4797903459</v>
      </c>
    </row>
    <row r="76" customFormat="false" ht="15" hidden="false" customHeight="false" outlineLevel="0" collapsed="false">
      <c r="A76" s="55" t="n">
        <v>0.5</v>
      </c>
      <c r="B76" s="10" t="n">
        <f aca="false">((($B$8*(1+$B$9)-$B$10)*$B$11-$B$12-$B$13+B$72*$A76*$B$19*$B$20/(1+$B$16)^$B$21)*1000/$B$14)+$B$22*(((($B$8*(1+$B$9)-$B$10)*$B$24-$B$12-$B$13)*1000/$B$14)-((($B$8*(1+$B$9)-$B$10)*$B$11-$B$12-$B$13)*1000/$B$14))*((1+$B$25)/(1+$B$16))^$B$23</f>
        <v>10528.9807626938</v>
      </c>
      <c r="C76" s="10" t="n">
        <f aca="false">((($B$8*(1+$B$9)-$B$10)*$B$11-$B$12-$B$13+C$72*$A76*$B$19*$B$20/(1+$B$16)^$B$21)*1000/$B$14)+$B$22*(((($B$8*(1+$B$9)-$B$10)*$B$24-$B$12-$B$13)*1000/$B$14)-((($B$8*(1+$B$9)-$B$10)*$B$11-$B$12-$B$13)*1000/$B$14))*((1+$B$25)/(1+$B$16))^$B$23</f>
        <v>12627.5993418347</v>
      </c>
      <c r="D76" s="10" t="n">
        <f aca="false">((($B$8*(1+$B$9)-$B$10)*$B$11-$B$12-$B$13+D$72*$A76*$B$19*$B$20/(1+$B$16)^$B$21)*1000/$B$14)+$B$22*(((($B$8*(1+$B$9)-$B$10)*$B$24-$B$12-$B$13)*1000/$B$14)-((($B$8*(1+$B$9)-$B$10)*$B$11-$B$12-$B$13)*1000/$B$14))*((1+$B$25)/(1+$B$16))^$B$23</f>
        <v>14704.1271990899</v>
      </c>
      <c r="E76" s="10" t="n">
        <f aca="false">((($B$8*(1+$B$9)-$B$10)*$B$11-$B$12-$B$13+E$72*$A76*$B$19*$B$20/(1+$B$16)^$B$21)*1000/$B$14)+$B$22*(((($B$8*(1+$B$9)-$B$10)*$B$24-$B$12-$B$13)*1000/$B$14)-((($B$8*(1+$B$9)-$B$10)*$B$11-$B$12-$B$13)*1000/$B$14))*((1+$B$25)/(1+$B$16))^$B$23</f>
        <v>16603.9292812596</v>
      </c>
      <c r="F76" s="10" t="n">
        <f aca="false">((($B$8*(1+$B$9)-$B$10)*$B$11-$B$12-$B$13+F$72*$A76*$B$19*$B$20/(1+$B$16)^$B$21)*1000/$B$14)+$B$22*(((($B$8*(1+$B$9)-$B$10)*$B$24-$B$12-$B$13)*1000/$B$14)-((($B$8*(1+$B$9)-$B$10)*$B$11-$B$12-$B$13)*1000/$B$14))*((1+$B$25)/(1+$B$16))^$B$23</f>
        <v>18481.6406415435</v>
      </c>
    </row>
    <row r="77" customFormat="false" ht="15" hidden="false" customHeight="false" outlineLevel="0" collapsed="false">
      <c r="A77" s="55" t="n">
        <v>0.6</v>
      </c>
      <c r="B77" s="10" t="n">
        <f aca="false">((($B$8*(1+$B$9)-$B$10)*$B$11-$B$12-$B$13+B$72*$A77*$B$19*$B$20/(1+$B$16)^$B$21)*1000/$B$14)+$B$22*(((($B$8*(1+$B$9)-$B$10)*$B$24-$B$12-$B$13)*1000/$B$14)-((($B$8*(1+$B$9)-$B$10)*$B$11-$B$12-$B$13)*1000/$B$14))*((1+$B$25)/(1+$B$16))^$B$23</f>
        <v>11412.6096381216</v>
      </c>
      <c r="C77" s="10" t="n">
        <f aca="false">((($B$8*(1+$B$9)-$B$10)*$B$11-$B$12-$B$13+C$72*$A77*$B$19*$B$20/(1+$B$16)^$B$21)*1000/$B$14)+$B$22*(((($B$8*(1+$B$9)-$B$10)*$B$24-$B$12-$B$13)*1000/$B$14)-((($B$8*(1+$B$9)-$B$10)*$B$11-$B$12-$B$13)*1000/$B$14))*((1+$B$25)/(1+$B$16))^$B$23</f>
        <v>13930.9519330907</v>
      </c>
      <c r="D77" s="10" t="n">
        <f aca="false">((($B$8*(1+$B$9)-$B$10)*$B$11-$B$12-$B$13+D$72*$A77*$B$19*$B$20/(1+$B$16)^$B$21)*1000/$B$14)+$B$22*(((($B$8*(1+$B$9)-$B$10)*$B$24-$B$12-$B$13)*1000/$B$14)-((($B$8*(1+$B$9)-$B$10)*$B$11-$B$12-$B$13)*1000/$B$14))*((1+$B$25)/(1+$B$16))^$B$23</f>
        <v>16422.7853617969</v>
      </c>
      <c r="E77" s="10" t="n">
        <f aca="false">((($B$8*(1+$B$9)-$B$10)*$B$11-$B$12-$B$13+E$72*$A77*$B$19*$B$20/(1+$B$16)^$B$21)*1000/$B$14)+$B$22*(((($B$8*(1+$B$9)-$B$10)*$B$24-$B$12-$B$13)*1000/$B$14)-((($B$8*(1+$B$9)-$B$10)*$B$11-$B$12-$B$13)*1000/$B$14))*((1+$B$25)/(1+$B$16))^$B$23</f>
        <v>18702.5478604005</v>
      </c>
      <c r="F77" s="10" t="n">
        <f aca="false">((($B$8*(1+$B$9)-$B$10)*$B$11-$B$12-$B$13+F$72*$A77*$B$19*$B$20/(1+$B$16)^$B$21)*1000/$B$14)+$B$22*(((($B$8*(1+$B$9)-$B$10)*$B$24-$B$12-$B$13)*1000/$B$14)-((($B$8*(1+$B$9)-$B$10)*$B$11-$B$12-$B$13)*1000/$B$14))*((1+$B$25)/(1+$B$16))^$B$23</f>
        <v>20955.8014927412</v>
      </c>
    </row>
    <row r="78" customFormat="false" ht="15" hidden="false" customHeight="false" outlineLevel="0" collapsed="false">
      <c r="A78" s="2" t="s">
        <v>192</v>
      </c>
    </row>
    <row r="80" customFormat="false" ht="15" hidden="false" customHeight="false" outlineLevel="0" collapsed="false">
      <c r="A80" s="40" t="s">
        <v>195</v>
      </c>
      <c r="B80" s="41"/>
      <c r="C80" s="41"/>
      <c r="D80" s="41"/>
    </row>
    <row r="81" customFormat="false" ht="43.5" hidden="false" customHeight="true" outlineLevel="0" collapsed="false">
      <c r="A81" s="57" t="s">
        <v>397</v>
      </c>
      <c r="B81" s="57"/>
      <c r="C81" s="57"/>
      <c r="D81" s="57"/>
    </row>
    <row r="82" customFormat="false" ht="15" hidden="false" customHeight="false" outlineLevel="0" collapsed="false">
      <c r="A82" s="58" t="s">
        <v>398</v>
      </c>
      <c r="B82" s="58"/>
      <c r="C82" s="58"/>
      <c r="D82" s="58"/>
    </row>
    <row r="83" customFormat="false" ht="15" hidden="false" customHeight="false" outlineLevel="0" collapsed="false">
      <c r="A83" s="58" t="s">
        <v>399</v>
      </c>
      <c r="B83" s="58"/>
      <c r="C83" s="58"/>
      <c r="D83" s="58"/>
    </row>
    <row r="84" customFormat="false" ht="15" hidden="false" customHeight="false" outlineLevel="0" collapsed="false">
      <c r="A84" s="58" t="s">
        <v>400</v>
      </c>
      <c r="B84" s="58"/>
      <c r="C84" s="58"/>
      <c r="D84" s="58"/>
    </row>
    <row r="85" customFormat="false" ht="15" hidden="false" customHeight="false" outlineLevel="0" collapsed="false">
      <c r="A85" s="58" t="s">
        <v>401</v>
      </c>
      <c r="B85" s="58"/>
      <c r="C85" s="58"/>
      <c r="D85" s="58"/>
    </row>
    <row r="86" customFormat="false" ht="15" hidden="false" customHeight="false" outlineLevel="0" collapsed="false">
      <c r="A86" s="58" t="s">
        <v>402</v>
      </c>
      <c r="B86" s="58"/>
      <c r="C86" s="58"/>
      <c r="D86" s="58"/>
    </row>
    <row r="88" customFormat="false" ht="15" hidden="false" customHeight="false" outlineLevel="0" collapsed="false">
      <c r="A88" s="40" t="s">
        <v>201</v>
      </c>
      <c r="B88" s="41"/>
      <c r="C88" s="41"/>
      <c r="D88" s="41"/>
    </row>
    <row r="89" customFormat="false" ht="15" hidden="false" customHeight="false" outlineLevel="0" collapsed="false">
      <c r="A89" s="58" t="s">
        <v>403</v>
      </c>
      <c r="B89" s="58"/>
      <c r="C89" s="58"/>
      <c r="D89" s="58"/>
    </row>
    <row r="90" customFormat="false" ht="15" hidden="false" customHeight="false" outlineLevel="0" collapsed="false">
      <c r="A90" s="58" t="s">
        <v>404</v>
      </c>
      <c r="B90" s="58"/>
      <c r="C90" s="58"/>
      <c r="D90" s="58"/>
    </row>
    <row r="91" customFormat="false" ht="15" hidden="false" customHeight="false" outlineLevel="0" collapsed="false">
      <c r="A91" s="58" t="s">
        <v>405</v>
      </c>
      <c r="B91" s="58"/>
      <c r="C91" s="58"/>
      <c r="D91" s="58"/>
    </row>
    <row r="92" customFormat="false" ht="15" hidden="false" customHeight="false" outlineLevel="0" collapsed="false">
      <c r="A92" s="58" t="s">
        <v>406</v>
      </c>
      <c r="B92" s="58"/>
      <c r="C92" s="58"/>
      <c r="D92" s="58"/>
    </row>
    <row r="93" customFormat="false" ht="15" hidden="false" customHeight="false" outlineLevel="0" collapsed="false">
      <c r="A93" s="58" t="s">
        <v>407</v>
      </c>
      <c r="B93" s="58"/>
      <c r="C93" s="58"/>
      <c r="D93" s="58"/>
    </row>
    <row r="95" customFormat="false" ht="15" hidden="false" customHeight="false" outlineLevel="0" collapsed="false">
      <c r="A95" s="40" t="s">
        <v>207</v>
      </c>
      <c r="B95" s="41"/>
      <c r="C95" s="41"/>
      <c r="D95" s="41"/>
    </row>
    <row r="96" customFormat="false" ht="15" hidden="false" customHeight="false" outlineLevel="0" collapsed="false">
      <c r="A96" s="16" t="s">
        <v>408</v>
      </c>
      <c r="B96" s="16"/>
      <c r="C96" s="16"/>
      <c r="D96" s="16"/>
    </row>
    <row r="97" customFormat="false" ht="15" hidden="false" customHeight="false" outlineLevel="0" collapsed="false">
      <c r="A97" s="16" t="s">
        <v>409</v>
      </c>
      <c r="B97" s="16"/>
      <c r="C97" s="16"/>
      <c r="D97" s="16"/>
    </row>
    <row r="98" customFormat="false" ht="15" hidden="false" customHeight="false" outlineLevel="0" collapsed="false">
      <c r="A98" s="16" t="s">
        <v>410</v>
      </c>
      <c r="B98" s="16"/>
      <c r="C98" s="16"/>
      <c r="D98" s="16"/>
    </row>
    <row r="99" customFormat="false" ht="15" hidden="false" customHeight="false" outlineLevel="0" collapsed="false">
      <c r="A99" s="16" t="s">
        <v>411</v>
      </c>
      <c r="B99" s="16"/>
      <c r="C99" s="16"/>
      <c r="D99" s="16"/>
    </row>
    <row r="100" customFormat="false" ht="15" hidden="false" customHeight="false" outlineLevel="0" collapsed="false">
      <c r="A100" s="16" t="s">
        <v>412</v>
      </c>
      <c r="B100" s="16"/>
      <c r="C100" s="16"/>
      <c r="D100" s="16"/>
    </row>
    <row r="101" customFormat="false" ht="15" hidden="false" customHeight="false" outlineLevel="0" collapsed="false">
      <c r="A101" s="16" t="s">
        <v>413</v>
      </c>
      <c r="B101" s="16"/>
      <c r="C101" s="16"/>
      <c r="D101" s="16"/>
    </row>
    <row r="102" customFormat="false" ht="15" hidden="false" customHeight="false" outlineLevel="0" collapsed="false">
      <c r="A102" s="16" t="s">
        <v>213</v>
      </c>
      <c r="B102" s="16"/>
      <c r="C102" s="16"/>
      <c r="D102" s="16"/>
    </row>
    <row r="103" customFormat="false" ht="15" hidden="false" customHeight="false" outlineLevel="0" collapsed="false">
      <c r="A103" s="16" t="s">
        <v>214</v>
      </c>
      <c r="B103" s="16"/>
      <c r="C103" s="16"/>
      <c r="D103" s="16"/>
    </row>
    <row r="104" customFormat="false" ht="15" hidden="false" customHeight="false" outlineLevel="0" collapsed="false">
      <c r="A104" s="16" t="s">
        <v>215</v>
      </c>
      <c r="B104" s="16"/>
      <c r="C104" s="16"/>
      <c r="D104" s="16"/>
    </row>
    <row r="105" customFormat="false" ht="15" hidden="false" customHeight="false" outlineLevel="0" collapsed="false">
      <c r="A105" s="16" t="s">
        <v>216</v>
      </c>
      <c r="B105" s="16"/>
      <c r="C105" s="16"/>
      <c r="D105" s="16"/>
    </row>
  </sheetData>
  <mergeCells count="22">
    <mergeCell ref="A3:D3"/>
    <mergeCell ref="A81:D81"/>
    <mergeCell ref="A82:D82"/>
    <mergeCell ref="A83:D83"/>
    <mergeCell ref="A84:D84"/>
    <mergeCell ref="A85:D85"/>
    <mergeCell ref="A86:D86"/>
    <mergeCell ref="A89:D89"/>
    <mergeCell ref="A90:D90"/>
    <mergeCell ref="A91:D91"/>
    <mergeCell ref="A92:D92"/>
    <mergeCell ref="A93:D93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80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1" t="s">
        <v>414</v>
      </c>
    </row>
    <row r="2" customFormat="false" ht="15" hidden="false" customHeight="false" outlineLevel="0" collapsed="false">
      <c r="A2" s="13" t="s">
        <v>415</v>
      </c>
    </row>
    <row r="3" customFormat="false" ht="42" hidden="false" customHeight="true" outlineLevel="0" collapsed="false">
      <c r="A3" s="39" t="s">
        <v>416</v>
      </c>
      <c r="B3" s="39"/>
      <c r="C3" s="39"/>
      <c r="D3" s="39"/>
    </row>
    <row r="4" customFormat="false" ht="15" hidden="false" customHeight="false" outlineLevel="0" collapsed="false">
      <c r="A4" s="2" t="s">
        <v>116</v>
      </c>
    </row>
    <row r="6" customFormat="false" ht="15" hidden="false" customHeight="false" outlineLevel="0" collapsed="false">
      <c r="A6" s="24" t="s">
        <v>117</v>
      </c>
      <c r="B6" s="24" t="s">
        <v>64</v>
      </c>
      <c r="C6" s="24" t="s">
        <v>65</v>
      </c>
      <c r="D6" s="24" t="s">
        <v>66</v>
      </c>
    </row>
    <row r="7" customFormat="false" ht="15" hidden="false" customHeight="false" outlineLevel="0" collapsed="false">
      <c r="A7" s="40" t="s">
        <v>118</v>
      </c>
      <c r="B7" s="41"/>
      <c r="C7" s="41"/>
      <c r="D7" s="41"/>
    </row>
    <row r="8" customFormat="false" ht="22.35" hidden="false" customHeight="false" outlineLevel="0" collapsed="false">
      <c r="A8" s="25" t="s">
        <v>417</v>
      </c>
      <c r="B8" s="42" t="n">
        <v>70</v>
      </c>
      <c r="C8" s="25" t="s">
        <v>96</v>
      </c>
      <c r="D8" s="27" t="s">
        <v>418</v>
      </c>
    </row>
    <row r="9" customFormat="false" ht="15" hidden="false" customHeight="false" outlineLevel="0" collapsed="false">
      <c r="A9" s="25" t="s">
        <v>419</v>
      </c>
      <c r="B9" s="43" t="n">
        <v>0.7</v>
      </c>
      <c r="C9" s="25" t="s">
        <v>70</v>
      </c>
      <c r="D9" s="27" t="s">
        <v>420</v>
      </c>
    </row>
    <row r="10" customFormat="false" ht="15" hidden="false" customHeight="false" outlineLevel="0" collapsed="false">
      <c r="A10" s="25" t="s">
        <v>421</v>
      </c>
      <c r="B10" s="44" t="n">
        <v>1.9984</v>
      </c>
      <c r="C10" s="25" t="s">
        <v>124</v>
      </c>
      <c r="D10" s="27" t="s">
        <v>422</v>
      </c>
    </row>
    <row r="11" customFormat="false" ht="15" hidden="false" customHeight="false" outlineLevel="0" collapsed="false">
      <c r="A11" s="25" t="s">
        <v>126</v>
      </c>
      <c r="B11" s="11" t="n">
        <f aca="false">Параметры!$B$9</f>
        <v>0.19</v>
      </c>
      <c r="C11" s="25" t="s">
        <v>70</v>
      </c>
      <c r="D11" s="27" t="s">
        <v>132</v>
      </c>
    </row>
    <row r="12" customFormat="false" ht="22.35" hidden="false" customHeight="false" outlineLevel="0" collapsed="false">
      <c r="A12" s="25" t="s">
        <v>128</v>
      </c>
      <c r="B12" s="45" t="n">
        <v>0.02</v>
      </c>
      <c r="C12" s="25" t="s">
        <v>70</v>
      </c>
      <c r="D12" s="27" t="s">
        <v>423</v>
      </c>
    </row>
    <row r="13" customFormat="false" ht="22.35" hidden="false" customHeight="false" outlineLevel="0" collapsed="false">
      <c r="A13" s="25" t="s">
        <v>424</v>
      </c>
      <c r="B13" s="45" t="n">
        <v>0.04</v>
      </c>
      <c r="C13" s="25" t="s">
        <v>70</v>
      </c>
      <c r="D13" s="27" t="s">
        <v>425</v>
      </c>
    </row>
    <row r="14" customFormat="false" ht="15" hidden="false" customHeight="false" outlineLevel="0" collapsed="false">
      <c r="A14" s="25" t="s">
        <v>426</v>
      </c>
      <c r="B14" s="60" t="n">
        <v>645.2</v>
      </c>
      <c r="C14" s="25" t="s">
        <v>96</v>
      </c>
      <c r="D14" s="27" t="s">
        <v>427</v>
      </c>
    </row>
    <row r="15" customFormat="false" ht="15" hidden="false" customHeight="false" outlineLevel="0" collapsed="false">
      <c r="A15" s="25" t="s">
        <v>428</v>
      </c>
      <c r="B15" s="60" t="n">
        <v>325</v>
      </c>
      <c r="C15" s="25" t="s">
        <v>96</v>
      </c>
      <c r="D15" s="27" t="s">
        <v>429</v>
      </c>
    </row>
    <row r="16" customFormat="false" ht="15" hidden="false" customHeight="false" outlineLevel="0" collapsed="false">
      <c r="A16" s="25" t="s">
        <v>95</v>
      </c>
      <c r="B16" s="46" t="n">
        <f aca="false">Параметры!$B$17</f>
        <v>778</v>
      </c>
      <c r="C16" s="25" t="s">
        <v>96</v>
      </c>
      <c r="D16" s="27" t="s">
        <v>132</v>
      </c>
    </row>
    <row r="17" customFormat="false" ht="22.35" hidden="false" customHeight="false" outlineLevel="0" collapsed="false">
      <c r="A17" s="25" t="s">
        <v>133</v>
      </c>
      <c r="B17" s="45" t="n">
        <v>0.05</v>
      </c>
      <c r="C17" s="25" t="s">
        <v>70</v>
      </c>
      <c r="D17" s="27" t="s">
        <v>430</v>
      </c>
    </row>
    <row r="18" customFormat="false" ht="15" hidden="false" customHeight="false" outlineLevel="0" collapsed="false">
      <c r="A18" s="25" t="s">
        <v>135</v>
      </c>
      <c r="B18" s="47" t="n">
        <f aca="false">Параметры!$B$22</f>
        <v>16.9666666666667</v>
      </c>
      <c r="C18" s="25" t="s">
        <v>101</v>
      </c>
      <c r="D18" s="27" t="s">
        <v>136</v>
      </c>
    </row>
    <row r="19" customFormat="false" ht="15" hidden="false" customHeight="false" outlineLevel="0" collapsed="false">
      <c r="A19" s="25" t="s">
        <v>109</v>
      </c>
      <c r="B19" s="47" t="n">
        <f aca="false">Параметры!$B$23</f>
        <v>1</v>
      </c>
      <c r="C19" s="25" t="s">
        <v>101</v>
      </c>
      <c r="D19" s="27" t="s">
        <v>137</v>
      </c>
    </row>
    <row r="20" customFormat="false" ht="15" hidden="false" customHeight="false" outlineLevel="0" collapsed="false">
      <c r="A20" s="25" t="s">
        <v>98</v>
      </c>
      <c r="B20" s="48" t="n">
        <f aca="false">Параметры!$B$18</f>
        <v>4</v>
      </c>
      <c r="C20" s="25" t="s">
        <v>93</v>
      </c>
      <c r="D20" s="27" t="s">
        <v>132</v>
      </c>
    </row>
    <row r="21" customFormat="false" ht="15" hidden="false" customHeight="false" outlineLevel="0" collapsed="false">
      <c r="A21" s="25" t="s">
        <v>138</v>
      </c>
      <c r="B21" s="11" t="n">
        <f aca="false">Параметры!$B$15</f>
        <v>0.5</v>
      </c>
      <c r="C21" s="25" t="s">
        <v>70</v>
      </c>
      <c r="D21" s="27" t="s">
        <v>132</v>
      </c>
    </row>
    <row r="22" customFormat="false" ht="15" hidden="false" customHeight="false" outlineLevel="0" collapsed="false">
      <c r="A22" s="25" t="s">
        <v>92</v>
      </c>
      <c r="B22" s="48" t="n">
        <f aca="false">Параметры!$B$16</f>
        <v>5</v>
      </c>
      <c r="C22" s="25" t="s">
        <v>93</v>
      </c>
      <c r="D22" s="27" t="s">
        <v>132</v>
      </c>
    </row>
    <row r="23" customFormat="false" ht="22.35" hidden="false" customHeight="false" outlineLevel="0" collapsed="false">
      <c r="A23" s="25" t="s">
        <v>431</v>
      </c>
      <c r="B23" s="49" t="n">
        <v>4.5</v>
      </c>
      <c r="C23" s="25" t="s">
        <v>101</v>
      </c>
      <c r="D23" s="27" t="s">
        <v>432</v>
      </c>
    </row>
    <row r="24" customFormat="false" ht="15" hidden="false" customHeight="false" outlineLevel="0" collapsed="false">
      <c r="A24" s="25" t="s">
        <v>141</v>
      </c>
      <c r="B24" s="43" t="n">
        <v>0.07</v>
      </c>
      <c r="C24" s="25" t="s">
        <v>70</v>
      </c>
      <c r="D24" s="27" t="s">
        <v>433</v>
      </c>
    </row>
    <row r="26" customFormat="false" ht="15" hidden="false" customHeight="false" outlineLevel="0" collapsed="false">
      <c r="A26" s="40" t="s">
        <v>143</v>
      </c>
      <c r="B26" s="41"/>
      <c r="C26" s="41"/>
      <c r="D26" s="41"/>
    </row>
    <row r="27" customFormat="false" ht="15" hidden="false" customHeight="false" outlineLevel="0" collapsed="false">
      <c r="A27" s="25" t="s">
        <v>434</v>
      </c>
      <c r="B27" s="12" t="n">
        <f aca="false">$B$8/$B$10</f>
        <v>35.0280224179343</v>
      </c>
      <c r="C27" s="25" t="s">
        <v>145</v>
      </c>
      <c r="D27" s="27"/>
    </row>
    <row r="28" customFormat="false" ht="15" hidden="false" customHeight="false" outlineLevel="0" collapsed="false">
      <c r="A28" s="25" t="s">
        <v>435</v>
      </c>
      <c r="B28" s="12" t="n">
        <f aca="false">$B$27*$B$9</f>
        <v>24.519615692554</v>
      </c>
      <c r="C28" s="25" t="s">
        <v>145</v>
      </c>
      <c r="D28" s="27"/>
    </row>
    <row r="29" customFormat="false" ht="15" hidden="false" customHeight="false" outlineLevel="0" collapsed="false">
      <c r="A29" s="25" t="s">
        <v>146</v>
      </c>
      <c r="B29" s="8" t="n">
        <f aca="false">$B$11+$B$12</f>
        <v>0.21</v>
      </c>
      <c r="C29" s="25" t="s">
        <v>70</v>
      </c>
      <c r="D29" s="27"/>
    </row>
    <row r="30" customFormat="false" ht="15" hidden="false" customHeight="false" outlineLevel="0" collapsed="false">
      <c r="A30" s="25" t="s">
        <v>436</v>
      </c>
      <c r="B30" s="8" t="n">
        <f aca="false">$B$29-$B$13</f>
        <v>0.17</v>
      </c>
      <c r="C30" s="25" t="s">
        <v>70</v>
      </c>
      <c r="D30" s="27"/>
    </row>
    <row r="31" customFormat="false" ht="15" hidden="false" customHeight="false" outlineLevel="0" collapsed="false">
      <c r="A31" s="25" t="s">
        <v>437</v>
      </c>
      <c r="B31" s="12" t="n">
        <f aca="false">IF($B$30&gt;0,$B$27/$B$30,0)</f>
        <v>206.047190693731</v>
      </c>
      <c r="C31" s="25" t="s">
        <v>85</v>
      </c>
      <c r="D31" s="27" t="s">
        <v>438</v>
      </c>
    </row>
    <row r="32" customFormat="false" ht="15" hidden="false" customHeight="false" outlineLevel="0" collapsed="false">
      <c r="A32" s="25" t="s">
        <v>150</v>
      </c>
      <c r="B32" s="50" t="n">
        <f aca="false">$B$16*$B$17</f>
        <v>38.9</v>
      </c>
      <c r="C32" s="25" t="s">
        <v>96</v>
      </c>
      <c r="D32" s="27"/>
    </row>
    <row r="33" customFormat="false" ht="15" hidden="false" customHeight="false" outlineLevel="0" collapsed="false">
      <c r="A33" s="25" t="s">
        <v>151</v>
      </c>
      <c r="B33" s="50" t="n">
        <f aca="false">$B$32*$B$18*$B$19</f>
        <v>660.003333333333</v>
      </c>
      <c r="C33" s="25" t="s">
        <v>96</v>
      </c>
      <c r="D33" s="27" t="s">
        <v>152</v>
      </c>
    </row>
    <row r="34" customFormat="false" ht="15" hidden="false" customHeight="false" outlineLevel="0" collapsed="false">
      <c r="A34" s="25" t="s">
        <v>153</v>
      </c>
      <c r="B34" s="50" t="n">
        <f aca="false">$B$33/(1+$B$11)^$B$20</f>
        <v>329.123038158384</v>
      </c>
      <c r="C34" s="25" t="s">
        <v>96</v>
      </c>
      <c r="D34" s="27"/>
    </row>
    <row r="35" customFormat="false" ht="15" hidden="false" customHeight="false" outlineLevel="0" collapsed="false">
      <c r="A35" s="25" t="s">
        <v>154</v>
      </c>
      <c r="B35" s="12" t="n">
        <f aca="false">IF($B$10&gt;0,$B$34/$B$10,0)</f>
        <v>164.69327369815</v>
      </c>
      <c r="C35" s="25" t="s">
        <v>85</v>
      </c>
      <c r="D35" s="27"/>
    </row>
    <row r="36" customFormat="false" ht="15" hidden="false" customHeight="false" outlineLevel="0" collapsed="false">
      <c r="A36" s="25" t="s">
        <v>155</v>
      </c>
      <c r="B36" s="12" t="n">
        <f aca="false">$B$31+$B$35</f>
        <v>370.740464391882</v>
      </c>
      <c r="C36" s="25" t="s">
        <v>85</v>
      </c>
      <c r="D36" s="27"/>
    </row>
    <row r="37" customFormat="false" ht="15" hidden="false" customHeight="false" outlineLevel="0" collapsed="false">
      <c r="A37" s="25" t="s">
        <v>156</v>
      </c>
      <c r="B37" s="12" t="n">
        <f aca="false">($B$23*$B$15-$B$14)/$B$10</f>
        <v>408.977181745396</v>
      </c>
      <c r="C37" s="25" t="s">
        <v>85</v>
      </c>
      <c r="D37" s="27" t="s">
        <v>157</v>
      </c>
    </row>
    <row r="38" customFormat="false" ht="15" hidden="false" customHeight="false" outlineLevel="0" collapsed="false">
      <c r="A38" s="25" t="s">
        <v>158</v>
      </c>
      <c r="B38" s="12" t="n">
        <f aca="false">$B$21*($B$37-$B$31)*((1+$B$24)/(1+$B$11))^$B$22</f>
        <v>59.6348762011192</v>
      </c>
      <c r="C38" s="25" t="s">
        <v>85</v>
      </c>
      <c r="D38" s="27" t="s">
        <v>159</v>
      </c>
    </row>
    <row r="39" customFormat="false" ht="15" hidden="false" customHeight="false" outlineLevel="0" collapsed="false">
      <c r="A39" s="25" t="s">
        <v>160</v>
      </c>
      <c r="B39" s="12" t="n">
        <f aca="false">$B$36+$B$38</f>
        <v>430.375340593001</v>
      </c>
      <c r="C39" s="25" t="s">
        <v>85</v>
      </c>
      <c r="D39" s="27"/>
    </row>
    <row r="41" customFormat="false" ht="15" hidden="false" customHeight="false" outlineLevel="0" collapsed="false">
      <c r="A41" s="40" t="s">
        <v>161</v>
      </c>
      <c r="B41" s="41"/>
      <c r="C41" s="41"/>
      <c r="D41" s="41"/>
    </row>
    <row r="42" customFormat="false" ht="15" hidden="false" customHeight="false" outlineLevel="0" collapsed="false">
      <c r="A42" s="13" t="s">
        <v>162</v>
      </c>
      <c r="B42" s="51" t="n">
        <f aca="false">$B$39</f>
        <v>430.375340593001</v>
      </c>
      <c r="C42" s="25" t="s">
        <v>85</v>
      </c>
      <c r="D42" s="2" t="s">
        <v>163</v>
      </c>
    </row>
    <row r="43" customFormat="false" ht="15" hidden="false" customHeight="false" outlineLevel="0" collapsed="false">
      <c r="A43" s="25" t="s">
        <v>164</v>
      </c>
      <c r="B43" s="7" t="n">
        <f aca="false">Сводка!$D$10</f>
        <v>176.45</v>
      </c>
      <c r="C43" s="25" t="s">
        <v>85</v>
      </c>
      <c r="D43" s="2" t="s">
        <v>165</v>
      </c>
    </row>
    <row r="44" customFormat="false" ht="15" hidden="false" customHeight="false" outlineLevel="0" collapsed="false">
      <c r="A44" s="25" t="s">
        <v>166</v>
      </c>
      <c r="B44" s="52" t="n">
        <f aca="false">$B$42*(1-Параметры!$B$10)</f>
        <v>331.389012256611</v>
      </c>
      <c r="C44" s="25" t="s">
        <v>85</v>
      </c>
      <c r="D44" s="2" t="s">
        <v>167</v>
      </c>
    </row>
    <row r="45" customFormat="false" ht="15" hidden="false" customHeight="false" outlineLevel="0" collapsed="false">
      <c r="A45" s="25" t="s">
        <v>168</v>
      </c>
      <c r="B45" s="52" t="n">
        <f aca="false">$B$42*(1+Параметры!$B$11)</f>
        <v>507.842901899741</v>
      </c>
      <c r="C45" s="25" t="s">
        <v>85</v>
      </c>
      <c r="D45" s="2" t="s">
        <v>169</v>
      </c>
    </row>
    <row r="46" customFormat="false" ht="15" hidden="false" customHeight="false" outlineLevel="0" collapsed="false">
      <c r="A46" s="25" t="s">
        <v>170</v>
      </c>
      <c r="B46" s="7" t="n">
        <f aca="false">$B$45*(1-Параметры!$B$12)</f>
        <v>482.450756804754</v>
      </c>
      <c r="C46" s="25" t="s">
        <v>85</v>
      </c>
      <c r="D46" s="2" t="s">
        <v>171</v>
      </c>
    </row>
    <row r="47" customFormat="false" ht="15" hidden="false" customHeight="false" outlineLevel="0" collapsed="false">
      <c r="A47" s="25" t="s">
        <v>172</v>
      </c>
      <c r="B47" s="8" t="n">
        <f aca="false">IF($B$43&gt;0,$B$42/$B$43-1,0)</f>
        <v>1.43907815581185</v>
      </c>
      <c r="C47" s="25" t="s">
        <v>70</v>
      </c>
      <c r="D47" s="2"/>
    </row>
    <row r="48" customFormat="false" ht="15" hidden="false" customHeight="false" outlineLevel="0" collapsed="false">
      <c r="A48" s="25" t="s">
        <v>173</v>
      </c>
      <c r="B48" s="8" t="n">
        <f aca="false">IF($B$43&gt;0,$B$45/$B$43-1,0)</f>
        <v>1.87811222385798</v>
      </c>
      <c r="C48" s="25" t="s">
        <v>70</v>
      </c>
      <c r="D48" s="2"/>
    </row>
    <row r="49" customFormat="false" ht="15" hidden="false" customHeight="false" outlineLevel="0" collapsed="false">
      <c r="A49" s="13" t="s">
        <v>11</v>
      </c>
      <c r="B49" s="4" t="str">
        <f aca="false">IF($B$43&lt;=$B$44,"ЗОНА ПОКУПКИ",IF($B$43&gt;=$B$45,"ЦЕНА ПРОДАЖИ",IF($B$43&gt;=$B$46,"ПРИБЛИЖАЕТСЯ К ПРОДАЖЕ","ДЕРЖАТЬ")))</f>
        <v>ЗОНА ПОКУПКИ</v>
      </c>
      <c r="C49" s="25"/>
      <c r="D49" s="2" t="s">
        <v>174</v>
      </c>
    </row>
    <row r="51" customFormat="false" ht="15" hidden="false" customHeight="false" outlineLevel="0" collapsed="false">
      <c r="A51" s="40" t="s">
        <v>175</v>
      </c>
      <c r="B51" s="41"/>
      <c r="C51" s="41"/>
      <c r="D51" s="41"/>
    </row>
    <row r="52" customFormat="false" ht="15" hidden="false" customHeight="false" outlineLevel="0" collapsed="false">
      <c r="A52" s="25" t="s">
        <v>176</v>
      </c>
      <c r="B52" s="8" t="n">
        <f aca="false">IF($B$42&gt;0,$B$35/$B$42,0)</f>
        <v>0.382673583182588</v>
      </c>
      <c r="C52" s="25" t="s">
        <v>70</v>
      </c>
      <c r="D52" s="27"/>
    </row>
    <row r="53" customFormat="false" ht="22.35" hidden="false" customHeight="false" outlineLevel="0" collapsed="false">
      <c r="A53" s="25" t="s">
        <v>177</v>
      </c>
      <c r="B53" s="7" t="n">
        <f aca="false">IF($B$19&gt;0,$B$35/$B$19*Параметры!$B$24,0)</f>
        <v>32.9386547396301</v>
      </c>
      <c r="C53" s="25" t="s">
        <v>85</v>
      </c>
      <c r="D53" s="27" t="s">
        <v>178</v>
      </c>
    </row>
    <row r="54" customFormat="false" ht="15" hidden="false" customHeight="false" outlineLevel="0" collapsed="false">
      <c r="A54" s="25" t="s">
        <v>179</v>
      </c>
      <c r="B54" s="12" t="n">
        <f aca="false">$B$31+$B$53</f>
        <v>238.985845433362</v>
      </c>
      <c r="C54" s="25" t="s">
        <v>85</v>
      </c>
      <c r="D54" s="27" t="s">
        <v>180</v>
      </c>
    </row>
    <row r="55" customFormat="false" ht="15" hidden="false" customHeight="false" outlineLevel="0" collapsed="false">
      <c r="A55" s="25" t="s">
        <v>185</v>
      </c>
      <c r="B55" s="8" t="n">
        <f aca="false">IF($B$43&gt;0,$B$28/$B$43,0)</f>
        <v>0.138960701006257</v>
      </c>
      <c r="C55" s="25" t="s">
        <v>70</v>
      </c>
      <c r="D55" s="27"/>
    </row>
    <row r="56" customFormat="false" ht="15" hidden="false" customHeight="false" outlineLevel="0" collapsed="false">
      <c r="A56" s="25" t="s">
        <v>439</v>
      </c>
      <c r="B56" s="8" t="n">
        <f aca="false">IF($B$43&gt;0,$B$27/$B$43,0)</f>
        <v>0.198515287151796</v>
      </c>
      <c r="C56" s="25" t="s">
        <v>70</v>
      </c>
      <c r="D56" s="27"/>
    </row>
    <row r="57" customFormat="false" ht="15" hidden="false" customHeight="false" outlineLevel="0" collapsed="false">
      <c r="A57" s="25" t="s">
        <v>440</v>
      </c>
      <c r="B57" s="53" t="n">
        <f aca="false">IF($B$15&gt;0,($B$31*$B$10+$B$14)/$B$15,0)</f>
        <v>3.25219909502262</v>
      </c>
      <c r="C57" s="25" t="s">
        <v>101</v>
      </c>
      <c r="D57" s="27" t="s">
        <v>441</v>
      </c>
    </row>
    <row r="58" customFormat="false" ht="15" hidden="false" customHeight="false" outlineLevel="0" collapsed="false">
      <c r="A58" s="25" t="s">
        <v>442</v>
      </c>
      <c r="B58" s="53" t="n">
        <f aca="false">IF($B$15&gt;0,($B$43*$B$10+$B$14)/$B$15,0)</f>
        <v>3.07020824615385</v>
      </c>
      <c r="C58" s="25" t="s">
        <v>101</v>
      </c>
      <c r="D58" s="27"/>
    </row>
    <row r="59" customFormat="false" ht="15" hidden="false" customHeight="false" outlineLevel="0" collapsed="false">
      <c r="A59" s="25" t="s">
        <v>186</v>
      </c>
      <c r="B59" s="7" t="n">
        <f aca="false">IF(Параметры!$B$8+Параметры!$B$7+$B$12-$B$13&gt;0,$B$27/(Параметры!$B$8+Параметры!$B$7+$B$12-$B$13),0)</f>
        <v>170.03894377638</v>
      </c>
      <c r="C59" s="25" t="s">
        <v>85</v>
      </c>
      <c r="D59" s="27" t="s">
        <v>443</v>
      </c>
    </row>
    <row r="60" customFormat="false" ht="22.35" hidden="false" customHeight="false" outlineLevel="0" collapsed="false">
      <c r="A60" s="25" t="s">
        <v>444</v>
      </c>
      <c r="B60" s="12" t="n">
        <f aca="false">248</f>
        <v>248</v>
      </c>
      <c r="C60" s="25" t="s">
        <v>85</v>
      </c>
      <c r="D60" s="27" t="s">
        <v>445</v>
      </c>
    </row>
    <row r="62" customFormat="false" ht="15" hidden="false" customHeight="false" outlineLevel="0" collapsed="false">
      <c r="A62" s="40" t="s">
        <v>446</v>
      </c>
      <c r="B62" s="41"/>
      <c r="C62" s="41"/>
      <c r="D62" s="41"/>
      <c r="E62" s="41"/>
      <c r="F62" s="41"/>
      <c r="G62" s="41"/>
    </row>
    <row r="63" customFormat="false" ht="15" hidden="false" customHeight="false" outlineLevel="0" collapsed="false">
      <c r="A63" s="13" t="s">
        <v>447</v>
      </c>
      <c r="B63" s="65" t="n">
        <v>55</v>
      </c>
      <c r="C63" s="65" t="n">
        <v>62.5</v>
      </c>
      <c r="D63" s="65" t="n">
        <v>70</v>
      </c>
      <c r="E63" s="65" t="n">
        <v>77.5</v>
      </c>
      <c r="F63" s="65" t="n">
        <v>85</v>
      </c>
    </row>
    <row r="64" customFormat="false" ht="15" hidden="false" customHeight="false" outlineLevel="0" collapsed="false">
      <c r="A64" s="55" t="n">
        <v>0</v>
      </c>
      <c r="B64" s="10" t="n">
        <f aca="false">(B$63/$B$10/($B$11+$A64-$B$13)+$B$16*$B$17*$B$18*$B$19/(1+$B$11)^$B$20/$B$10)+$B$21*((($B$23*$B$15-$B$14)/$B$10)-(B$63/$B$10/($B$11+$A64-$B$13)))*((1+$B$24)/(1+$B$11))^$B$22</f>
        <v>414.440035324426</v>
      </c>
      <c r="C64" s="10" t="n">
        <f aca="false">(C$63/$B$10/($B$11+$A64-$B$13)+$B$16*$B$17*$B$18*$B$19/(1+$B$11)^$B$20/$B$10)+$B$21*((($B$23*$B$15-$B$14)/$B$10)-(C$63/$B$10/($B$11+$A64-$B$13)))*((1+$B$24)/(1+$B$11))^$B$22</f>
        <v>432.107438991759</v>
      </c>
      <c r="D64" s="10" t="n">
        <f aca="false">(D$63/$B$10/($B$11+$A64-$B$13)+$B$16*$B$17*$B$18*$B$19/(1+$B$11)^$B$20/$B$10)+$B$21*((($B$23*$B$15-$B$14)/$B$10)-(D$63/$B$10/($B$11+$A64-$B$13)))*((1+$B$24)/(1+$B$11))^$B$22</f>
        <v>449.774842659093</v>
      </c>
      <c r="E64" s="10" t="n">
        <f aca="false">(E$63/$B$10/($B$11+$A64-$B$13)+$B$16*$B$17*$B$18*$B$19/(1+$B$11)^$B$20/$B$10)+$B$21*((($B$23*$B$15-$B$14)/$B$10)-(E$63/$B$10/($B$11+$A64-$B$13)))*((1+$B$24)/(1+$B$11))^$B$22</f>
        <v>467.442246326426</v>
      </c>
      <c r="F64" s="10" t="n">
        <f aca="false">(F$63/$B$10/($B$11+$A64-$B$13)+$B$16*$B$17*$B$18*$B$19/(1+$B$11)^$B$20/$B$10)+$B$21*((($B$23*$B$15-$B$14)/$B$10)-(F$63/$B$10/($B$11+$A64-$B$13)))*((1+$B$24)/(1+$B$11))^$B$22</f>
        <v>485.10964999376</v>
      </c>
    </row>
    <row r="65" customFormat="false" ht="15" hidden="false" customHeight="false" outlineLevel="0" collapsed="false">
      <c r="A65" s="55" t="n">
        <v>0.01</v>
      </c>
      <c r="B65" s="10" t="n">
        <f aca="false">(B$63/$B$10/($B$11+$A65-$B$13)+$B$16*$B$17*$B$18*$B$19/(1+$B$11)^$B$20/$B$10)+$B$21*((($B$23*$B$15-$B$14)/$B$10)-(B$63/$B$10/($B$11+$A65-$B$13)))*((1+$B$24)/(1+$B$11))^$B$22</f>
        <v>406.342475310231</v>
      </c>
      <c r="C65" s="10" t="n">
        <f aca="false">(C$63/$B$10/($B$11+$A65-$B$13)+$B$16*$B$17*$B$18*$B$19/(1+$B$11)^$B$20/$B$10)+$B$21*((($B$23*$B$15-$B$14)/$B$10)-(C$63/$B$10/($B$11+$A65-$B$13)))*((1+$B$24)/(1+$B$11))^$B$22</f>
        <v>422.905666248356</v>
      </c>
      <c r="D65" s="10" t="n">
        <f aca="false">(D$63/$B$10/($B$11+$A65-$B$13)+$B$16*$B$17*$B$18*$B$19/(1+$B$11)^$B$20/$B$10)+$B$21*((($B$23*$B$15-$B$14)/$B$10)-(D$63/$B$10/($B$11+$A65-$B$13)))*((1+$B$24)/(1+$B$11))^$B$22</f>
        <v>439.468857186482</v>
      </c>
      <c r="E65" s="10" t="n">
        <f aca="false">(E$63/$B$10/($B$11+$A65-$B$13)+$B$16*$B$17*$B$18*$B$19/(1+$B$11)^$B$20/$B$10)+$B$21*((($B$23*$B$15-$B$14)/$B$10)-(E$63/$B$10/($B$11+$A65-$B$13)))*((1+$B$24)/(1+$B$11))^$B$22</f>
        <v>456.032048124607</v>
      </c>
      <c r="F65" s="10" t="n">
        <f aca="false">(F$63/$B$10/($B$11+$A65-$B$13)+$B$16*$B$17*$B$18*$B$19/(1+$B$11)^$B$20/$B$10)+$B$21*((($B$23*$B$15-$B$14)/$B$10)-(F$63/$B$10/($B$11+$A65-$B$13)))*((1+$B$24)/(1+$B$11))^$B$22</f>
        <v>472.595239062732</v>
      </c>
    </row>
    <row r="66" customFormat="false" ht="15" hidden="false" customHeight="false" outlineLevel="0" collapsed="false">
      <c r="A66" s="55" t="n">
        <v>0.02</v>
      </c>
      <c r="B66" s="10" t="n">
        <f aca="false">(B$63/$B$10/($B$11+$A66-$B$13)+$B$16*$B$17*$B$18*$B$19/(1+$B$11)^$B$20/$B$10)+$B$21*((($B$23*$B$15-$B$14)/$B$10)-(B$63/$B$10/($B$11+$A66-$B$13)))*((1+$B$24)/(1+$B$11))^$B$22</f>
        <v>399.197569415354</v>
      </c>
      <c r="C66" s="10" t="n">
        <f aca="false">(C$63/$B$10/($B$11+$A66-$B$13)+$B$16*$B$17*$B$18*$B$19/(1+$B$11)^$B$20/$B$10)+$B$21*((($B$23*$B$15-$B$14)/$B$10)-(C$63/$B$10/($B$11+$A66-$B$13)))*((1+$B$24)/(1+$B$11))^$B$22</f>
        <v>414.786455004177</v>
      </c>
      <c r="D66" s="56" t="n">
        <f aca="false">(D$63/$B$10/($B$11+$A66-$B$13)+$B$16*$B$17*$B$18*$B$19/(1+$B$11)^$B$20/$B$10)+$B$21*((($B$23*$B$15-$B$14)/$B$10)-(D$63/$B$10/($B$11+$A66-$B$13)))*((1+$B$24)/(1+$B$11))^$B$22</f>
        <v>430.375340593001</v>
      </c>
      <c r="E66" s="10" t="n">
        <f aca="false">(E$63/$B$10/($B$11+$A66-$B$13)+$B$16*$B$17*$B$18*$B$19/(1+$B$11)^$B$20/$B$10)+$B$21*((($B$23*$B$15-$B$14)/$B$10)-(E$63/$B$10/($B$11+$A66-$B$13)))*((1+$B$24)/(1+$B$11))^$B$22</f>
        <v>445.964226181825</v>
      </c>
      <c r="F66" s="10" t="n">
        <f aca="false">(F$63/$B$10/($B$11+$A66-$B$13)+$B$16*$B$17*$B$18*$B$19/(1+$B$11)^$B$20/$B$10)+$B$21*((($B$23*$B$15-$B$14)/$B$10)-(F$63/$B$10/($B$11+$A66-$B$13)))*((1+$B$24)/(1+$B$11))^$B$22</f>
        <v>461.553111770648</v>
      </c>
    </row>
    <row r="67" customFormat="false" ht="15" hidden="false" customHeight="false" outlineLevel="0" collapsed="false">
      <c r="A67" s="55" t="n">
        <v>0.03</v>
      </c>
      <c r="B67" s="10" t="n">
        <f aca="false">(B$63/$B$10/($B$11+$A67-$B$13)+$B$16*$B$17*$B$18*$B$19/(1+$B$11)^$B$20/$B$10)+$B$21*((($B$23*$B$15-$B$14)/$B$10)-(B$63/$B$10/($B$11+$A67-$B$13)))*((1+$B$24)/(1+$B$11))^$B$22</f>
        <v>392.84654195324</v>
      </c>
      <c r="C67" s="10" t="n">
        <f aca="false">(C$63/$B$10/($B$11+$A67-$B$13)+$B$16*$B$17*$B$18*$B$19/(1+$B$11)^$B$20/$B$10)+$B$21*((($B$23*$B$15-$B$14)/$B$10)-(C$63/$B$10/($B$11+$A67-$B$13)))*((1+$B$24)/(1+$B$11))^$B$22</f>
        <v>407.569378342685</v>
      </c>
      <c r="D67" s="10" t="n">
        <f aca="false">(D$63/$B$10/($B$11+$A67-$B$13)+$B$16*$B$17*$B$18*$B$19/(1+$B$11)^$B$20/$B$10)+$B$21*((($B$23*$B$15-$B$14)/$B$10)-(D$63/$B$10/($B$11+$A67-$B$13)))*((1+$B$24)/(1+$B$11))^$B$22</f>
        <v>422.29221473213</v>
      </c>
      <c r="E67" s="10" t="n">
        <f aca="false">(E$63/$B$10/($B$11+$A67-$B$13)+$B$16*$B$17*$B$18*$B$19/(1+$B$11)^$B$20/$B$10)+$B$21*((($B$23*$B$15-$B$14)/$B$10)-(E$63/$B$10/($B$11+$A67-$B$13)))*((1+$B$24)/(1+$B$11))^$B$22</f>
        <v>437.015051121574</v>
      </c>
      <c r="F67" s="10" t="n">
        <f aca="false">(F$63/$B$10/($B$11+$A67-$B$13)+$B$16*$B$17*$B$18*$B$19/(1+$B$11)^$B$20/$B$10)+$B$21*((($B$23*$B$15-$B$14)/$B$10)-(F$63/$B$10/($B$11+$A67-$B$13)))*((1+$B$24)/(1+$B$11))^$B$22</f>
        <v>451.737887511019</v>
      </c>
    </row>
    <row r="68" customFormat="false" ht="15" hidden="false" customHeight="false" outlineLevel="0" collapsed="false">
      <c r="A68" s="55" t="n">
        <v>0.04</v>
      </c>
      <c r="B68" s="10" t="n">
        <f aca="false">(B$63/$B$10/($B$11+$A68-$B$13)+$B$16*$B$17*$B$18*$B$19/(1+$B$11)^$B$20/$B$10)+$B$21*((($B$23*$B$15-$B$14)/$B$10)-(B$63/$B$10/($B$11+$A68-$B$13)))*((1+$B$24)/(1+$B$11))^$B$22</f>
        <v>387.164043697665</v>
      </c>
      <c r="C68" s="10" t="n">
        <f aca="false">(C$63/$B$10/($B$11+$A68-$B$13)+$B$16*$B$17*$B$18*$B$19/(1+$B$11)^$B$20/$B$10)+$B$21*((($B$23*$B$15-$B$14)/$B$10)-(C$63/$B$10/($B$11+$A68-$B$13)))*((1+$B$24)/(1+$B$11))^$B$22</f>
        <v>401.11199396135</v>
      </c>
      <c r="D68" s="10" t="n">
        <f aca="false">(D$63/$B$10/($B$11+$A68-$B$13)+$B$16*$B$17*$B$18*$B$19/(1+$B$11)^$B$20/$B$10)+$B$21*((($B$23*$B$15-$B$14)/$B$10)-(D$63/$B$10/($B$11+$A68-$B$13)))*((1+$B$24)/(1+$B$11))^$B$22</f>
        <v>415.059944225034</v>
      </c>
      <c r="E68" s="10" t="n">
        <f aca="false">(E$63/$B$10/($B$11+$A68-$B$13)+$B$16*$B$17*$B$18*$B$19/(1+$B$11)^$B$20/$B$10)+$B$21*((($B$23*$B$15-$B$14)/$B$10)-(E$63/$B$10/($B$11+$A68-$B$13)))*((1+$B$24)/(1+$B$11))^$B$22</f>
        <v>429.007894488718</v>
      </c>
      <c r="F68" s="10" t="n">
        <f aca="false">(F$63/$B$10/($B$11+$A68-$B$13)+$B$16*$B$17*$B$18*$B$19/(1+$B$11)^$B$20/$B$10)+$B$21*((($B$23*$B$15-$B$14)/$B$10)-(F$63/$B$10/($B$11+$A68-$B$13)))*((1+$B$24)/(1+$B$11))^$B$22</f>
        <v>442.955844752403</v>
      </c>
    </row>
    <row r="69" customFormat="false" ht="15" hidden="false" customHeight="false" outlineLevel="0" collapsed="false">
      <c r="A69" s="2" t="s">
        <v>192</v>
      </c>
    </row>
    <row r="71" customFormat="false" ht="15" hidden="false" customHeight="false" outlineLevel="0" collapsed="false">
      <c r="A71" s="40" t="s">
        <v>448</v>
      </c>
      <c r="B71" s="41"/>
      <c r="C71" s="41"/>
      <c r="D71" s="41"/>
      <c r="E71" s="41"/>
      <c r="F71" s="41"/>
      <c r="G71" s="41"/>
    </row>
    <row r="72" customFormat="false" ht="15" hidden="false" customHeight="false" outlineLevel="0" collapsed="false">
      <c r="A72" s="13" t="s">
        <v>449</v>
      </c>
      <c r="B72" s="54" t="n">
        <v>400</v>
      </c>
      <c r="C72" s="54" t="n">
        <v>590</v>
      </c>
      <c r="D72" s="54" t="n">
        <v>778</v>
      </c>
      <c r="E72" s="54" t="n">
        <v>950</v>
      </c>
      <c r="F72" s="54" t="n">
        <v>1120</v>
      </c>
    </row>
    <row r="73" customFormat="false" ht="15" hidden="false" customHeight="false" outlineLevel="0" collapsed="false">
      <c r="A73" s="55" t="n">
        <v>0.01</v>
      </c>
      <c r="B73" s="10" t="n">
        <f aca="false">($B$8/$B$10/($B$11+$B$12-$B$13)+B$72*$A73*$B$18*$B$19/(1+$B$11)^$B$20/$B$10)+$B$21*((($B$23*$B$15-$B$14)/$B$10)-($B$8/$B$10/($B$11+$B$12-$B$13)))*((1+$B$24)/(1+$B$11))^$B$22</f>
        <v>282.61710789209</v>
      </c>
      <c r="C73" s="10" t="n">
        <f aca="false">($B$8/$B$10/($B$11+$B$12-$B$13)+C$72*$A73*$B$18*$B$19/(1+$B$11)^$B$20/$B$10)+$B$21*((($B$23*$B$15-$B$14)/$B$10)-($B$8/$B$10/($B$11+$B$12-$B$13)))*((1+$B$24)/(1+$B$11))^$B$22</f>
        <v>290.661252365778</v>
      </c>
      <c r="D73" s="10" t="n">
        <f aca="false">($B$8/$B$10/($B$11+$B$12-$B$13)+D$72*$A73*$B$18*$B$19/(1+$B$11)^$B$20/$B$10)+$B$21*((($B$23*$B$15-$B$14)/$B$10)-($B$8/$B$10/($B$11+$B$12-$B$13)))*((1+$B$24)/(1+$B$11))^$B$22</f>
        <v>298.620721634481</v>
      </c>
      <c r="E73" s="10" t="n">
        <f aca="false">($B$8/$B$10/($B$11+$B$12-$B$13)+E$72*$A73*$B$18*$B$19/(1+$B$11)^$B$20/$B$10)+$B$21*((($B$23*$B$15-$B$14)/$B$10)-($B$8/$B$10/($B$11+$B$12-$B$13)))*((1+$B$24)/(1+$B$11))^$B$22</f>
        <v>305.902789263294</v>
      </c>
      <c r="F73" s="10" t="n">
        <f aca="false">($B$8/$B$10/($B$11+$B$12-$B$13)+F$72*$A73*$B$18*$B$19/(1+$B$11)^$B$20/$B$10)+$B$21*((($B$23*$B$15-$B$14)/$B$10)-($B$8/$B$10/($B$11+$B$12-$B$13)))*((1+$B$24)/(1+$B$11))^$B$22</f>
        <v>313.10018168712</v>
      </c>
    </row>
    <row r="74" customFormat="false" ht="15" hidden="false" customHeight="false" outlineLevel="0" collapsed="false">
      <c r="A74" s="55" t="n">
        <v>0.03</v>
      </c>
      <c r="B74" s="10" t="n">
        <f aca="false">($B$8/$B$10/($B$11+$B$12-$B$13)+B$72*$A74*$B$18*$B$19/(1+$B$11)^$B$20/$B$10)+$B$21*((($B$23*$B$15-$B$14)/$B$10)-($B$8/$B$10/($B$11+$B$12-$B$13)))*((1+$B$24)/(1+$B$11))^$B$22</f>
        <v>316.487189886568</v>
      </c>
      <c r="C74" s="10" t="n">
        <f aca="false">($B$8/$B$10/($B$11+$B$12-$B$13)+C$72*$A74*$B$18*$B$19/(1+$B$11)^$B$20/$B$10)+$B$21*((($B$23*$B$15-$B$14)/$B$10)-($B$8/$B$10/($B$11+$B$12-$B$13)))*((1+$B$24)/(1+$B$11))^$B$22</f>
        <v>340.619623307634</v>
      </c>
      <c r="D74" s="10" t="n">
        <f aca="false">($B$8/$B$10/($B$11+$B$12-$B$13)+D$72*$A74*$B$18*$B$19/(1+$B$11)^$B$20/$B$10)+$B$21*((($B$23*$B$15-$B$14)/$B$10)-($B$8/$B$10/($B$11+$B$12-$B$13)))*((1+$B$24)/(1+$B$11))^$B$22</f>
        <v>364.498031113741</v>
      </c>
      <c r="E74" s="10" t="n">
        <f aca="false">($B$8/$B$10/($B$11+$B$12-$B$13)+E$72*$A74*$B$18*$B$19/(1+$B$11)^$B$20/$B$10)+$B$21*((($B$23*$B$15-$B$14)/$B$10)-($B$8/$B$10/($B$11+$B$12-$B$13)))*((1+$B$24)/(1+$B$11))^$B$22</f>
        <v>386.344234000179</v>
      </c>
      <c r="F74" s="10" t="n">
        <f aca="false">($B$8/$B$10/($B$11+$B$12-$B$13)+F$72*$A74*$B$18*$B$19/(1+$B$11)^$B$20/$B$10)+$B$21*((($B$23*$B$15-$B$14)/$B$10)-($B$8/$B$10/($B$11+$B$12-$B$13)))*((1+$B$24)/(1+$B$11))^$B$22</f>
        <v>407.936411271659</v>
      </c>
    </row>
    <row r="75" customFormat="false" ht="15" hidden="false" customHeight="false" outlineLevel="0" collapsed="false">
      <c r="A75" s="55" t="n">
        <v>0.05</v>
      </c>
      <c r="B75" s="10" t="n">
        <f aca="false">($B$8/$B$10/($B$11+$B$12-$B$13)+B$72*$A75*$B$18*$B$19/(1+$B$11)^$B$20/$B$10)+$B$21*((($B$23*$B$15-$B$14)/$B$10)-($B$8/$B$10/($B$11+$B$12-$B$13)))*((1+$B$24)/(1+$B$11))^$B$22</f>
        <v>350.357271881046</v>
      </c>
      <c r="C75" s="10" t="n">
        <f aca="false">($B$8/$B$10/($B$11+$B$12-$B$13)+C$72*$A75*$B$18*$B$19/(1+$B$11)^$B$20/$B$10)+$B$21*((($B$23*$B$15-$B$14)/$B$10)-($B$8/$B$10/($B$11+$B$12-$B$13)))*((1+$B$24)/(1+$B$11))^$B$22</f>
        <v>390.577994249489</v>
      </c>
      <c r="D75" s="56" t="n">
        <f aca="false">($B$8/$B$10/($B$11+$B$12-$B$13)+D$72*$A75*$B$18*$B$19/(1+$B$11)^$B$20/$B$10)+$B$21*((($B$23*$B$15-$B$14)/$B$10)-($B$8/$B$10/($B$11+$B$12-$B$13)))*((1+$B$24)/(1+$B$11))^$B$22</f>
        <v>430.375340593001</v>
      </c>
      <c r="E75" s="10" t="n">
        <f aca="false">($B$8/$B$10/($B$11+$B$12-$B$13)+E$72*$A75*$B$18*$B$19/(1+$B$11)^$B$20/$B$10)+$B$21*((($B$23*$B$15-$B$14)/$B$10)-($B$8/$B$10/($B$11+$B$12-$B$13)))*((1+$B$24)/(1+$B$11))^$B$22</f>
        <v>466.785678737065</v>
      </c>
      <c r="F75" s="10" t="n">
        <f aca="false">($B$8/$B$10/($B$11+$B$12-$B$13)+F$72*$A75*$B$18*$B$19/(1+$B$11)^$B$20/$B$10)+$B$21*((($B$23*$B$15-$B$14)/$B$10)-($B$8/$B$10/($B$11+$B$12-$B$13)))*((1+$B$24)/(1+$B$11))^$B$22</f>
        <v>502.772640856198</v>
      </c>
    </row>
    <row r="76" customFormat="false" ht="15" hidden="false" customHeight="false" outlineLevel="0" collapsed="false">
      <c r="A76" s="55" t="n">
        <v>0.075</v>
      </c>
      <c r="B76" s="10" t="n">
        <f aca="false">($B$8/$B$10/($B$11+$B$12-$B$13)+B$72*$A76*$B$18*$B$19/(1+$B$11)^$B$20/$B$10)+$B$21*((($B$23*$B$15-$B$14)/$B$10)-($B$8/$B$10/($B$11+$B$12-$B$13)))*((1+$B$24)/(1+$B$11))^$B$22</f>
        <v>392.694874374144</v>
      </c>
      <c r="C76" s="10" t="n">
        <f aca="false">($B$8/$B$10/($B$11+$B$12-$B$13)+C$72*$A76*$B$18*$B$19/(1+$B$11)^$B$20/$B$10)+$B$21*((($B$23*$B$15-$B$14)/$B$10)-($B$8/$B$10/($B$11+$B$12-$B$13)))*((1+$B$24)/(1+$B$11))^$B$22</f>
        <v>453.025957926808</v>
      </c>
      <c r="D76" s="10" t="n">
        <f aca="false">($B$8/$B$10/($B$11+$B$12-$B$13)+D$72*$A76*$B$18*$B$19/(1+$B$11)^$B$20/$B$10)+$B$21*((($B$23*$B$15-$B$14)/$B$10)-($B$8/$B$10/($B$11+$B$12-$B$13)))*((1+$B$24)/(1+$B$11))^$B$22</f>
        <v>512.721977442076</v>
      </c>
      <c r="E76" s="10" t="n">
        <f aca="false">($B$8/$B$10/($B$11+$B$12-$B$13)+E$72*$A76*$B$18*$B$19/(1+$B$11)^$B$20/$B$10)+$B$21*((($B$23*$B$15-$B$14)/$B$10)-($B$8/$B$10/($B$11+$B$12-$B$13)))*((1+$B$24)/(1+$B$11))^$B$22</f>
        <v>567.337484658173</v>
      </c>
      <c r="F76" s="10" t="n">
        <f aca="false">($B$8/$B$10/($B$11+$B$12-$B$13)+F$72*$A76*$B$18*$B$19/(1+$B$11)^$B$20/$B$10)+$B$21*((($B$23*$B$15-$B$14)/$B$10)-($B$8/$B$10/($B$11+$B$12-$B$13)))*((1+$B$24)/(1+$B$11))^$B$22</f>
        <v>621.317927836872</v>
      </c>
    </row>
    <row r="77" customFormat="false" ht="15" hidden="false" customHeight="false" outlineLevel="0" collapsed="false">
      <c r="A77" s="55" t="n">
        <v>0.1</v>
      </c>
      <c r="B77" s="10" t="n">
        <f aca="false">($B$8/$B$10/($B$11+$B$12-$B$13)+B$72*$A77*$B$18*$B$19/(1+$B$11)^$B$20/$B$10)+$B$21*((($B$23*$B$15-$B$14)/$B$10)-($B$8/$B$10/($B$11+$B$12-$B$13)))*((1+$B$24)/(1+$B$11))^$B$22</f>
        <v>435.032476867242</v>
      </c>
      <c r="C77" s="10" t="n">
        <f aca="false">($B$8/$B$10/($B$11+$B$12-$B$13)+C$72*$A77*$B$18*$B$19/(1+$B$11)^$B$20/$B$10)+$B$21*((($B$23*$B$15-$B$14)/$B$10)-($B$8/$B$10/($B$11+$B$12-$B$13)))*((1+$B$24)/(1+$B$11))^$B$22</f>
        <v>515.473921604128</v>
      </c>
      <c r="D77" s="10" t="n">
        <f aca="false">($B$8/$B$10/($B$11+$B$12-$B$13)+D$72*$A77*$B$18*$B$19/(1+$B$11)^$B$20/$B$10)+$B$21*((($B$23*$B$15-$B$14)/$B$10)-($B$8/$B$10/($B$11+$B$12-$B$13)))*((1+$B$24)/(1+$B$11))^$B$22</f>
        <v>595.068614291152</v>
      </c>
      <c r="E77" s="10" t="n">
        <f aca="false">($B$8/$B$10/($B$11+$B$12-$B$13)+E$72*$A77*$B$18*$B$19/(1+$B$11)^$B$20/$B$10)+$B$21*((($B$23*$B$15-$B$14)/$B$10)-($B$8/$B$10/($B$11+$B$12-$B$13)))*((1+$B$24)/(1+$B$11))^$B$22</f>
        <v>667.88929057928</v>
      </c>
      <c r="F77" s="10" t="n">
        <f aca="false">($B$8/$B$10/($B$11+$B$12-$B$13)+F$72*$A77*$B$18*$B$19/(1+$B$11)^$B$20/$B$10)+$B$21*((($B$23*$B$15-$B$14)/$B$10)-($B$8/$B$10/($B$11+$B$12-$B$13)))*((1+$B$24)/(1+$B$11))^$B$22</f>
        <v>739.863214817546</v>
      </c>
    </row>
    <row r="78" customFormat="false" ht="15" hidden="false" customHeight="false" outlineLevel="0" collapsed="false">
      <c r="A78" s="2" t="s">
        <v>192</v>
      </c>
    </row>
    <row r="80" customFormat="false" ht="15" hidden="false" customHeight="false" outlineLevel="0" collapsed="false">
      <c r="A80" s="40" t="s">
        <v>195</v>
      </c>
      <c r="B80" s="41"/>
      <c r="C80" s="41"/>
      <c r="D80" s="41"/>
    </row>
    <row r="81" customFormat="false" ht="43.5" hidden="false" customHeight="true" outlineLevel="0" collapsed="false">
      <c r="A81" s="57" t="s">
        <v>450</v>
      </c>
      <c r="B81" s="57"/>
      <c r="C81" s="57"/>
      <c r="D81" s="57"/>
    </row>
    <row r="82" customFormat="false" ht="15" hidden="false" customHeight="false" outlineLevel="0" collapsed="false">
      <c r="A82" s="58" t="s">
        <v>451</v>
      </c>
      <c r="B82" s="58"/>
      <c r="C82" s="58"/>
      <c r="D82" s="58"/>
    </row>
    <row r="83" customFormat="false" ht="15" hidden="false" customHeight="false" outlineLevel="0" collapsed="false">
      <c r="A83" s="58" t="s">
        <v>452</v>
      </c>
      <c r="B83" s="58"/>
      <c r="C83" s="58"/>
      <c r="D83" s="58"/>
    </row>
    <row r="84" customFormat="false" ht="15" hidden="false" customHeight="false" outlineLevel="0" collapsed="false">
      <c r="A84" s="58" t="s">
        <v>453</v>
      </c>
      <c r="B84" s="58"/>
      <c r="C84" s="58"/>
      <c r="D84" s="58"/>
    </row>
    <row r="85" customFormat="false" ht="15" hidden="false" customHeight="false" outlineLevel="0" collapsed="false">
      <c r="A85" s="58" t="s">
        <v>454</v>
      </c>
      <c r="B85" s="58"/>
      <c r="C85" s="58"/>
      <c r="D85" s="58"/>
    </row>
    <row r="87" customFormat="false" ht="15" hidden="false" customHeight="false" outlineLevel="0" collapsed="false">
      <c r="A87" s="40" t="s">
        <v>201</v>
      </c>
      <c r="B87" s="41"/>
      <c r="C87" s="41"/>
      <c r="D87" s="41"/>
    </row>
    <row r="88" customFormat="false" ht="15" hidden="false" customHeight="false" outlineLevel="0" collapsed="false">
      <c r="A88" s="58" t="s">
        <v>455</v>
      </c>
      <c r="B88" s="58"/>
      <c r="C88" s="58"/>
      <c r="D88" s="58"/>
    </row>
    <row r="89" customFormat="false" ht="15" hidden="false" customHeight="false" outlineLevel="0" collapsed="false">
      <c r="A89" s="58" t="s">
        <v>456</v>
      </c>
      <c r="B89" s="58"/>
      <c r="C89" s="58"/>
      <c r="D89" s="58"/>
    </row>
    <row r="90" customFormat="false" ht="15" hidden="false" customHeight="false" outlineLevel="0" collapsed="false">
      <c r="A90" s="58" t="s">
        <v>457</v>
      </c>
      <c r="B90" s="58"/>
      <c r="C90" s="58"/>
      <c r="D90" s="58"/>
    </row>
    <row r="91" customFormat="false" ht="15" hidden="false" customHeight="false" outlineLevel="0" collapsed="false">
      <c r="A91" s="58" t="s">
        <v>458</v>
      </c>
      <c r="B91" s="58"/>
      <c r="C91" s="58"/>
      <c r="D91" s="58"/>
    </row>
    <row r="92" customFormat="false" ht="15" hidden="false" customHeight="false" outlineLevel="0" collapsed="false">
      <c r="A92" s="58" t="s">
        <v>459</v>
      </c>
      <c r="B92" s="58"/>
      <c r="C92" s="58"/>
      <c r="D92" s="58"/>
    </row>
    <row r="94" customFormat="false" ht="15" hidden="false" customHeight="false" outlineLevel="0" collapsed="false">
      <c r="A94" s="40" t="s">
        <v>207</v>
      </c>
      <c r="B94" s="41"/>
      <c r="C94" s="41"/>
      <c r="D94" s="41"/>
    </row>
    <row r="95" customFormat="false" ht="15" hidden="false" customHeight="false" outlineLevel="0" collapsed="false">
      <c r="A95" s="16" t="s">
        <v>460</v>
      </c>
      <c r="B95" s="16"/>
      <c r="C95" s="16"/>
      <c r="D95" s="16"/>
    </row>
    <row r="96" customFormat="false" ht="15" hidden="false" customHeight="false" outlineLevel="0" collapsed="false">
      <c r="A96" s="16" t="s">
        <v>461</v>
      </c>
      <c r="B96" s="16"/>
      <c r="C96" s="16"/>
      <c r="D96" s="16"/>
    </row>
    <row r="97" customFormat="false" ht="15" hidden="false" customHeight="false" outlineLevel="0" collapsed="false">
      <c r="A97" s="16" t="s">
        <v>462</v>
      </c>
      <c r="B97" s="16"/>
      <c r="C97" s="16"/>
      <c r="D97" s="16"/>
    </row>
    <row r="98" customFormat="false" ht="15" hidden="false" customHeight="false" outlineLevel="0" collapsed="false">
      <c r="A98" s="16" t="s">
        <v>463</v>
      </c>
      <c r="B98" s="16"/>
      <c r="C98" s="16"/>
      <c r="D98" s="16"/>
    </row>
    <row r="99" customFormat="false" ht="15" hidden="false" customHeight="false" outlineLevel="0" collapsed="false">
      <c r="A99" s="16" t="s">
        <v>464</v>
      </c>
      <c r="B99" s="16"/>
      <c r="C99" s="16"/>
      <c r="D99" s="16"/>
    </row>
    <row r="100" customFormat="false" ht="15" hidden="false" customHeight="false" outlineLevel="0" collapsed="false">
      <c r="A100" s="16" t="s">
        <v>465</v>
      </c>
      <c r="B100" s="16"/>
      <c r="C100" s="16"/>
      <c r="D100" s="16"/>
    </row>
    <row r="101" customFormat="false" ht="15" hidden="false" customHeight="false" outlineLevel="0" collapsed="false">
      <c r="A101" s="16" t="s">
        <v>466</v>
      </c>
      <c r="B101" s="16"/>
      <c r="C101" s="16"/>
      <c r="D101" s="16"/>
    </row>
    <row r="102" customFormat="false" ht="15" hidden="false" customHeight="false" outlineLevel="0" collapsed="false">
      <c r="A102" s="16" t="s">
        <v>467</v>
      </c>
      <c r="B102" s="16"/>
      <c r="C102" s="16"/>
      <c r="D102" s="16"/>
    </row>
    <row r="103" customFormat="false" ht="15" hidden="false" customHeight="false" outlineLevel="0" collapsed="false">
      <c r="A103" s="16" t="s">
        <v>213</v>
      </c>
      <c r="B103" s="16"/>
      <c r="C103" s="16"/>
      <c r="D103" s="16"/>
    </row>
    <row r="104" customFormat="false" ht="15" hidden="false" customHeight="false" outlineLevel="0" collapsed="false">
      <c r="A104" s="16" t="s">
        <v>214</v>
      </c>
      <c r="B104" s="16"/>
      <c r="C104" s="16"/>
      <c r="D104" s="16"/>
    </row>
    <row r="105" customFormat="false" ht="15" hidden="false" customHeight="false" outlineLevel="0" collapsed="false">
      <c r="A105" s="16" t="s">
        <v>215</v>
      </c>
      <c r="B105" s="16"/>
      <c r="C105" s="16"/>
      <c r="D105" s="16"/>
    </row>
    <row r="106" customFormat="false" ht="15" hidden="false" customHeight="false" outlineLevel="0" collapsed="false">
      <c r="A106" s="16" t="s">
        <v>216</v>
      </c>
      <c r="B106" s="16"/>
      <c r="C106" s="16"/>
      <c r="D106" s="16"/>
    </row>
  </sheetData>
  <mergeCells count="23">
    <mergeCell ref="A3:D3"/>
    <mergeCell ref="A81:D81"/>
    <mergeCell ref="A82:D82"/>
    <mergeCell ref="A83:D83"/>
    <mergeCell ref="A84:D84"/>
    <mergeCell ref="A85:D85"/>
    <mergeCell ref="A88:D88"/>
    <mergeCell ref="A89:D89"/>
    <mergeCell ref="A90:D90"/>
    <mergeCell ref="A91:D91"/>
    <mergeCell ref="A92:D92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80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1" t="s">
        <v>468</v>
      </c>
    </row>
    <row r="2" customFormat="false" ht="15" hidden="false" customHeight="false" outlineLevel="0" collapsed="false">
      <c r="A2" s="13" t="s">
        <v>469</v>
      </c>
    </row>
    <row r="3" customFormat="false" ht="42" hidden="false" customHeight="true" outlineLevel="0" collapsed="false">
      <c r="A3" s="39" t="s">
        <v>470</v>
      </c>
      <c r="B3" s="39"/>
      <c r="C3" s="39"/>
      <c r="D3" s="39"/>
    </row>
    <row r="4" customFormat="false" ht="15" hidden="false" customHeight="false" outlineLevel="0" collapsed="false">
      <c r="A4" s="2" t="s">
        <v>116</v>
      </c>
    </row>
    <row r="6" customFormat="false" ht="15" hidden="false" customHeight="false" outlineLevel="0" collapsed="false">
      <c r="A6" s="24" t="s">
        <v>117</v>
      </c>
      <c r="B6" s="24" t="s">
        <v>64</v>
      </c>
      <c r="C6" s="24" t="s">
        <v>65</v>
      </c>
      <c r="D6" s="24" t="s">
        <v>66</v>
      </c>
    </row>
    <row r="7" customFormat="false" ht="15" hidden="false" customHeight="false" outlineLevel="0" collapsed="false">
      <c r="A7" s="40" t="s">
        <v>118</v>
      </c>
      <c r="B7" s="41"/>
      <c r="C7" s="41"/>
      <c r="D7" s="41"/>
    </row>
    <row r="8" customFormat="false" ht="22.35" hidden="false" customHeight="false" outlineLevel="0" collapsed="false">
      <c r="A8" s="25" t="s">
        <v>471</v>
      </c>
      <c r="B8" s="42" t="n">
        <v>3350</v>
      </c>
      <c r="C8" s="25" t="s">
        <v>96</v>
      </c>
      <c r="D8" s="27" t="s">
        <v>472</v>
      </c>
    </row>
    <row r="9" customFormat="false" ht="22.35" hidden="false" customHeight="false" outlineLevel="0" collapsed="false">
      <c r="A9" s="25" t="s">
        <v>233</v>
      </c>
      <c r="B9" s="49" t="n">
        <v>2.5</v>
      </c>
      <c r="C9" s="25" t="s">
        <v>101</v>
      </c>
      <c r="D9" s="27" t="s">
        <v>473</v>
      </c>
    </row>
    <row r="10" customFormat="false" ht="15" hidden="false" customHeight="false" outlineLevel="0" collapsed="false">
      <c r="A10" s="25" t="s">
        <v>369</v>
      </c>
      <c r="B10" s="60" t="n">
        <v>6055</v>
      </c>
      <c r="C10" s="25" t="s">
        <v>96</v>
      </c>
      <c r="D10" s="27" t="s">
        <v>474</v>
      </c>
    </row>
    <row r="11" customFormat="false" ht="15" hidden="false" customHeight="false" outlineLevel="0" collapsed="false">
      <c r="A11" s="25" t="s">
        <v>421</v>
      </c>
      <c r="B11" s="44" t="n">
        <v>23.674</v>
      </c>
      <c r="C11" s="25" t="s">
        <v>124</v>
      </c>
      <c r="D11" s="27" t="s">
        <v>475</v>
      </c>
    </row>
    <row r="12" customFormat="false" ht="32.8" hidden="false" customHeight="false" outlineLevel="0" collapsed="false">
      <c r="A12" s="25" t="s">
        <v>476</v>
      </c>
      <c r="B12" s="60" t="n">
        <v>360</v>
      </c>
      <c r="C12" s="25" t="s">
        <v>96</v>
      </c>
      <c r="D12" s="27" t="s">
        <v>477</v>
      </c>
    </row>
    <row r="13" customFormat="false" ht="32.8" hidden="false" customHeight="false" outlineLevel="0" collapsed="false">
      <c r="A13" s="25" t="s">
        <v>478</v>
      </c>
      <c r="B13" s="60" t="n">
        <v>520</v>
      </c>
      <c r="C13" s="25" t="s">
        <v>96</v>
      </c>
      <c r="D13" s="27" t="s">
        <v>479</v>
      </c>
    </row>
    <row r="14" customFormat="false" ht="15" hidden="false" customHeight="false" outlineLevel="0" collapsed="false">
      <c r="A14" s="25" t="s">
        <v>480</v>
      </c>
      <c r="B14" s="11" t="n">
        <f aca="false">Параметры!$B$9</f>
        <v>0.19</v>
      </c>
      <c r="C14" s="25" t="s">
        <v>70</v>
      </c>
      <c r="D14" s="27" t="s">
        <v>132</v>
      </c>
    </row>
    <row r="15" customFormat="false" ht="15" hidden="false" customHeight="false" outlineLevel="0" collapsed="false">
      <c r="A15" s="25" t="s">
        <v>228</v>
      </c>
      <c r="B15" s="7" t="n">
        <f aca="false">Параметры!$B$13</f>
        <v>85</v>
      </c>
      <c r="C15" s="25" t="s">
        <v>85</v>
      </c>
      <c r="D15" s="27" t="s">
        <v>132</v>
      </c>
    </row>
    <row r="16" customFormat="false" ht="22.35" hidden="false" customHeight="false" outlineLevel="0" collapsed="false">
      <c r="A16" s="25" t="s">
        <v>481</v>
      </c>
      <c r="B16" s="43" t="n">
        <v>0.04</v>
      </c>
      <c r="C16" s="25" t="s">
        <v>70</v>
      </c>
      <c r="D16" s="27" t="s">
        <v>482</v>
      </c>
    </row>
    <row r="17" customFormat="false" ht="15" hidden="false" customHeight="false" outlineLevel="0" collapsed="false">
      <c r="A17" s="25" t="s">
        <v>483</v>
      </c>
      <c r="B17" s="43" t="n">
        <v>0.25</v>
      </c>
      <c r="C17" s="25" t="s">
        <v>70</v>
      </c>
      <c r="D17" s="27" t="s">
        <v>484</v>
      </c>
    </row>
    <row r="18" customFormat="false" ht="22.35" hidden="false" customHeight="false" outlineLevel="0" collapsed="false">
      <c r="A18" s="25" t="s">
        <v>485</v>
      </c>
      <c r="B18" s="43" t="n">
        <v>0.3</v>
      </c>
      <c r="C18" s="25" t="s">
        <v>70</v>
      </c>
      <c r="D18" s="27" t="s">
        <v>486</v>
      </c>
    </row>
    <row r="19" customFormat="false" ht="22.35" hidden="false" customHeight="false" outlineLevel="0" collapsed="false">
      <c r="A19" s="25" t="s">
        <v>487</v>
      </c>
      <c r="B19" s="17" t="n">
        <v>40</v>
      </c>
      <c r="C19" s="25" t="s">
        <v>488</v>
      </c>
      <c r="D19" s="27" t="s">
        <v>489</v>
      </c>
    </row>
    <row r="20" customFormat="false" ht="32.8" hidden="false" customHeight="false" outlineLevel="0" collapsed="false">
      <c r="A20" s="25" t="s">
        <v>490</v>
      </c>
      <c r="B20" s="45" t="n">
        <v>0.15</v>
      </c>
      <c r="C20" s="25" t="s">
        <v>70</v>
      </c>
      <c r="D20" s="27" t="s">
        <v>491</v>
      </c>
    </row>
    <row r="21" customFormat="false" ht="22.35" hidden="false" customHeight="false" outlineLevel="0" collapsed="false">
      <c r="A21" s="25" t="s">
        <v>492</v>
      </c>
      <c r="B21" s="60" t="n">
        <v>27.5</v>
      </c>
      <c r="C21" s="25" t="s">
        <v>493</v>
      </c>
      <c r="D21" s="27" t="s">
        <v>494</v>
      </c>
    </row>
    <row r="22" customFormat="false" ht="22.35" hidden="false" customHeight="false" outlineLevel="0" collapsed="false">
      <c r="A22" s="25" t="s">
        <v>495</v>
      </c>
      <c r="B22" s="17" t="n">
        <v>300</v>
      </c>
      <c r="C22" s="25" t="s">
        <v>488</v>
      </c>
      <c r="D22" s="27" t="s">
        <v>496</v>
      </c>
    </row>
    <row r="23" customFormat="false" ht="15" hidden="false" customHeight="false" outlineLevel="0" collapsed="false">
      <c r="A23" s="25" t="s">
        <v>497</v>
      </c>
      <c r="B23" s="17" t="n">
        <v>20</v>
      </c>
      <c r="C23" s="25" t="s">
        <v>488</v>
      </c>
      <c r="D23" s="27" t="s">
        <v>498</v>
      </c>
    </row>
    <row r="24" customFormat="false" ht="15" hidden="false" customHeight="false" outlineLevel="0" collapsed="false">
      <c r="A24" s="25" t="s">
        <v>499</v>
      </c>
      <c r="B24" s="44" t="n">
        <v>2</v>
      </c>
      <c r="C24" s="25" t="s">
        <v>93</v>
      </c>
      <c r="D24" s="27" t="s">
        <v>500</v>
      </c>
    </row>
    <row r="25" customFormat="false" ht="15" hidden="false" customHeight="false" outlineLevel="0" collapsed="false">
      <c r="A25" s="25" t="s">
        <v>501</v>
      </c>
      <c r="B25" s="60" t="n">
        <v>50</v>
      </c>
      <c r="C25" s="25" t="s">
        <v>96</v>
      </c>
      <c r="D25" s="27" t="s">
        <v>502</v>
      </c>
    </row>
    <row r="26" customFormat="false" ht="15" hidden="false" customHeight="false" outlineLevel="0" collapsed="false">
      <c r="A26" s="25" t="s">
        <v>503</v>
      </c>
      <c r="B26" s="44" t="n">
        <v>1</v>
      </c>
      <c r="C26" s="25" t="s">
        <v>93</v>
      </c>
      <c r="D26" s="27"/>
    </row>
    <row r="27" customFormat="false" ht="22.35" hidden="false" customHeight="false" outlineLevel="0" collapsed="false">
      <c r="A27" s="25" t="s">
        <v>504</v>
      </c>
      <c r="B27" s="45" t="n">
        <v>0.5</v>
      </c>
      <c r="C27" s="25" t="s">
        <v>70</v>
      </c>
      <c r="D27" s="27" t="s">
        <v>505</v>
      </c>
    </row>
    <row r="28" customFormat="false" ht="15" hidden="false" customHeight="false" outlineLevel="0" collapsed="false">
      <c r="A28" s="25" t="s">
        <v>506</v>
      </c>
      <c r="B28" s="60" t="n">
        <v>50</v>
      </c>
      <c r="C28" s="25" t="s">
        <v>493</v>
      </c>
      <c r="D28" s="27" t="s">
        <v>507</v>
      </c>
    </row>
    <row r="29" customFormat="false" ht="32.8" hidden="false" customHeight="false" outlineLevel="0" collapsed="false">
      <c r="A29" s="25" t="s">
        <v>508</v>
      </c>
      <c r="B29" s="59" t="n">
        <v>247.9</v>
      </c>
      <c r="C29" s="25" t="s">
        <v>488</v>
      </c>
      <c r="D29" s="27" t="s">
        <v>509</v>
      </c>
    </row>
    <row r="30" customFormat="false" ht="22.35" hidden="false" customHeight="false" outlineLevel="0" collapsed="false">
      <c r="A30" s="25" t="s">
        <v>510</v>
      </c>
      <c r="B30" s="17" t="n">
        <v>25</v>
      </c>
      <c r="C30" s="25" t="s">
        <v>488</v>
      </c>
      <c r="D30" s="27" t="s">
        <v>511</v>
      </c>
    </row>
    <row r="31" customFormat="false" ht="15" hidden="false" customHeight="false" outlineLevel="0" collapsed="false">
      <c r="A31" s="25" t="s">
        <v>512</v>
      </c>
      <c r="B31" s="44" t="n">
        <v>30</v>
      </c>
      <c r="C31" s="25" t="s">
        <v>93</v>
      </c>
      <c r="D31" s="27" t="s">
        <v>513</v>
      </c>
    </row>
    <row r="32" customFormat="false" ht="22.35" hidden="false" customHeight="false" outlineLevel="0" collapsed="false">
      <c r="A32" s="25" t="s">
        <v>514</v>
      </c>
      <c r="B32" s="44" t="n">
        <v>7.5</v>
      </c>
      <c r="C32" s="25" t="s">
        <v>93</v>
      </c>
      <c r="D32" s="27" t="s">
        <v>515</v>
      </c>
    </row>
    <row r="33" customFormat="false" ht="22.35" hidden="false" customHeight="false" outlineLevel="0" collapsed="false">
      <c r="A33" s="25" t="s">
        <v>516</v>
      </c>
      <c r="B33" s="42" t="n">
        <v>1000</v>
      </c>
      <c r="C33" s="25" t="s">
        <v>96</v>
      </c>
      <c r="D33" s="27" t="s">
        <v>517</v>
      </c>
    </row>
    <row r="34" customFormat="false" ht="15" hidden="false" customHeight="false" outlineLevel="0" collapsed="false">
      <c r="A34" s="25" t="s">
        <v>518</v>
      </c>
      <c r="B34" s="44" t="n">
        <v>4</v>
      </c>
      <c r="C34" s="25" t="s">
        <v>93</v>
      </c>
      <c r="D34" s="27" t="s">
        <v>519</v>
      </c>
    </row>
    <row r="35" customFormat="false" ht="15" hidden="false" customHeight="false" outlineLevel="0" collapsed="false">
      <c r="A35" s="25" t="s">
        <v>138</v>
      </c>
      <c r="B35" s="11" t="n">
        <f aca="false">Параметры!$B$15</f>
        <v>0.5</v>
      </c>
      <c r="C35" s="25" t="s">
        <v>70</v>
      </c>
      <c r="D35" s="27" t="s">
        <v>132</v>
      </c>
    </row>
    <row r="36" customFormat="false" ht="15" hidden="false" customHeight="false" outlineLevel="0" collapsed="false">
      <c r="A36" s="25" t="s">
        <v>92</v>
      </c>
      <c r="B36" s="48" t="n">
        <f aca="false">Параметры!$B$16</f>
        <v>5</v>
      </c>
      <c r="C36" s="25" t="s">
        <v>93</v>
      </c>
      <c r="D36" s="27" t="s">
        <v>132</v>
      </c>
    </row>
    <row r="37" customFormat="false" ht="15" hidden="false" customHeight="false" outlineLevel="0" collapsed="false">
      <c r="A37" s="25" t="s">
        <v>243</v>
      </c>
      <c r="B37" s="49" t="n">
        <v>3.2</v>
      </c>
      <c r="C37" s="25" t="s">
        <v>101</v>
      </c>
      <c r="D37" s="27" t="s">
        <v>520</v>
      </c>
    </row>
    <row r="38" customFormat="false" ht="22.35" hidden="false" customHeight="false" outlineLevel="0" collapsed="false">
      <c r="A38" s="25" t="s">
        <v>521</v>
      </c>
      <c r="B38" s="45" t="n">
        <v>0.6</v>
      </c>
      <c r="C38" s="25" t="s">
        <v>70</v>
      </c>
      <c r="D38" s="27" t="s">
        <v>522</v>
      </c>
    </row>
    <row r="39" customFormat="false" ht="15" hidden="false" customHeight="false" outlineLevel="0" collapsed="false">
      <c r="A39" s="25" t="s">
        <v>141</v>
      </c>
      <c r="B39" s="43" t="n">
        <v>0.04</v>
      </c>
      <c r="C39" s="25" t="s">
        <v>70</v>
      </c>
      <c r="D39" s="27" t="s">
        <v>379</v>
      </c>
    </row>
    <row r="41" customFormat="false" ht="15" hidden="false" customHeight="false" outlineLevel="0" collapsed="false">
      <c r="A41" s="40" t="s">
        <v>143</v>
      </c>
      <c r="B41" s="41"/>
      <c r="C41" s="41"/>
      <c r="D41" s="41"/>
    </row>
    <row r="42" customFormat="false" ht="15" hidden="false" customHeight="false" outlineLevel="0" collapsed="false">
      <c r="A42" s="25" t="s">
        <v>523</v>
      </c>
      <c r="B42" s="50" t="n">
        <f aca="false">$B$8*$B$9</f>
        <v>8375</v>
      </c>
      <c r="C42" s="25" t="s">
        <v>96</v>
      </c>
      <c r="D42" s="27"/>
    </row>
    <row r="43" customFormat="false" ht="15" hidden="false" customHeight="false" outlineLevel="0" collapsed="false">
      <c r="A43" s="25" t="s">
        <v>524</v>
      </c>
      <c r="B43" s="50" t="n">
        <f aca="false">$B$42-$B$10-$B$12+$B$13</f>
        <v>2480</v>
      </c>
      <c r="C43" s="25" t="s">
        <v>96</v>
      </c>
      <c r="D43" s="27"/>
    </row>
    <row r="44" customFormat="false" ht="15" hidden="false" customHeight="false" outlineLevel="0" collapsed="false">
      <c r="A44" s="25" t="s">
        <v>525</v>
      </c>
      <c r="B44" s="12" t="n">
        <f aca="false">IF($B$11&gt;0,$B$43/$B$11,0)</f>
        <v>104.756272704232</v>
      </c>
      <c r="C44" s="25" t="s">
        <v>85</v>
      </c>
      <c r="D44" s="27"/>
    </row>
    <row r="45" customFormat="false" ht="15" hidden="false" customHeight="false" outlineLevel="0" collapsed="false">
      <c r="A45" s="25" t="s">
        <v>526</v>
      </c>
      <c r="B45" s="8" t="n">
        <f aca="false">((1+$B$14)/(1+$B$16)-1)</f>
        <v>0.144230769230769</v>
      </c>
      <c r="C45" s="25" t="s">
        <v>70</v>
      </c>
      <c r="D45" s="27" t="s">
        <v>527</v>
      </c>
    </row>
    <row r="46" customFormat="false" ht="15" hidden="false" customHeight="false" outlineLevel="0" collapsed="false">
      <c r="A46" s="25" t="s">
        <v>528</v>
      </c>
      <c r="B46" s="10" t="n">
        <f aca="false">($B$22*(1-$B$18)-$B$19-$B$23)</f>
        <v>150</v>
      </c>
      <c r="C46" s="25" t="s">
        <v>488</v>
      </c>
      <c r="D46" s="27" t="s">
        <v>529</v>
      </c>
    </row>
    <row r="47" customFormat="false" ht="15" hidden="false" customHeight="false" outlineLevel="0" collapsed="false">
      <c r="A47" s="25" t="s">
        <v>530</v>
      </c>
      <c r="B47" s="50" t="n">
        <f aca="false">$B$21*$B$46*$B$15/1000</f>
        <v>350.625</v>
      </c>
      <c r="C47" s="25" t="s">
        <v>96</v>
      </c>
      <c r="D47" s="27"/>
    </row>
    <row r="48" customFormat="false" ht="22.35" hidden="false" customHeight="false" outlineLevel="0" collapsed="false">
      <c r="A48" s="25" t="s">
        <v>531</v>
      </c>
      <c r="B48" s="50" t="n">
        <f aca="false">$B$47*$B$9/(1+$B$45)^$B$24-$B$25/(1+$B$45)^$B$26</f>
        <v>625.810324129652</v>
      </c>
      <c r="C48" s="25" t="s">
        <v>96</v>
      </c>
      <c r="D48" s="27" t="s">
        <v>532</v>
      </c>
    </row>
    <row r="49" customFormat="false" ht="15" hidden="false" customHeight="false" outlineLevel="0" collapsed="false">
      <c r="A49" s="25" t="s">
        <v>533</v>
      </c>
      <c r="B49" s="12" t="n">
        <f aca="false">$B$20*$B$48/$B$11</f>
        <v>3.9651748170756</v>
      </c>
      <c r="C49" s="25" t="s">
        <v>85</v>
      </c>
      <c r="D49" s="27"/>
    </row>
    <row r="50" customFormat="false" ht="15" hidden="false" customHeight="false" outlineLevel="0" collapsed="false">
      <c r="A50" s="25" t="s">
        <v>534</v>
      </c>
      <c r="B50" s="10" t="n">
        <f aca="false">($B$29*(1-$B$18)-$B$19-$B$30)</f>
        <v>108.53</v>
      </c>
      <c r="C50" s="25" t="s">
        <v>488</v>
      </c>
      <c r="D50" s="27" t="s">
        <v>535</v>
      </c>
    </row>
    <row r="51" customFormat="false" ht="15" hidden="false" customHeight="false" outlineLevel="0" collapsed="false">
      <c r="A51" s="25" t="s">
        <v>536</v>
      </c>
      <c r="B51" s="50" t="n">
        <f aca="false">$B$28*$B$50*$B$15/1000</f>
        <v>461.2525</v>
      </c>
      <c r="C51" s="25" t="s">
        <v>96</v>
      </c>
      <c r="D51" s="27"/>
    </row>
    <row r="52" customFormat="false" ht="15" hidden="false" customHeight="false" outlineLevel="0" collapsed="false">
      <c r="A52" s="25" t="s">
        <v>537</v>
      </c>
      <c r="B52" s="50" t="n">
        <f aca="false">$B$51*(1-$B$17)+$B$17*$B$33/$B$31</f>
        <v>354.272708333333</v>
      </c>
      <c r="C52" s="25" t="s">
        <v>96</v>
      </c>
      <c r="D52" s="27" t="s">
        <v>538</v>
      </c>
    </row>
    <row r="53" customFormat="false" ht="15" hidden="false" customHeight="false" outlineLevel="0" collapsed="false">
      <c r="A53" s="25" t="s">
        <v>539</v>
      </c>
      <c r="B53" s="53" t="n">
        <f aca="false">(1-(1+$B$45)^(-$B$31))/$B$45</f>
        <v>6.81156526478533</v>
      </c>
      <c r="C53" s="25" t="s">
        <v>101</v>
      </c>
      <c r="D53" s="27"/>
    </row>
    <row r="54" customFormat="false" ht="15" hidden="false" customHeight="false" outlineLevel="0" collapsed="false">
      <c r="A54" s="25" t="s">
        <v>540</v>
      </c>
      <c r="B54" s="50" t="n">
        <f aca="false">$B$52*$B$53/(1+$B$45)^$B$32-$B$33/(1+$B$45)^$B$34</f>
        <v>295.109256329248</v>
      </c>
      <c r="C54" s="25" t="s">
        <v>96</v>
      </c>
      <c r="D54" s="27"/>
    </row>
    <row r="55" customFormat="false" ht="15" hidden="false" customHeight="false" outlineLevel="0" collapsed="false">
      <c r="A55" s="25" t="s">
        <v>541</v>
      </c>
      <c r="B55" s="12" t="n">
        <f aca="false">$B$27*$B$54/$B$11</f>
        <v>6.23277131725202</v>
      </c>
      <c r="C55" s="25" t="s">
        <v>85</v>
      </c>
      <c r="D55" s="27"/>
    </row>
    <row r="56" customFormat="false" ht="15" hidden="false" customHeight="false" outlineLevel="0" collapsed="false">
      <c r="A56" s="25" t="s">
        <v>155</v>
      </c>
      <c r="B56" s="12" t="n">
        <f aca="false">$B$44+$B$49+$B$55</f>
        <v>114.95421883856</v>
      </c>
      <c r="C56" s="25" t="s">
        <v>85</v>
      </c>
      <c r="D56" s="27"/>
    </row>
    <row r="57" customFormat="false" ht="22.35" hidden="false" customHeight="false" outlineLevel="0" collapsed="false">
      <c r="A57" s="25" t="s">
        <v>156</v>
      </c>
      <c r="B57" s="12" t="n">
        <f aca="false">($B$8*$B$37-$B$10-$B$12+$B$13)/$B$11</f>
        <v>203.810087015291</v>
      </c>
      <c r="C57" s="25" t="s">
        <v>85</v>
      </c>
      <c r="D57" s="27" t="s">
        <v>542</v>
      </c>
    </row>
    <row r="58" customFormat="false" ht="15" hidden="false" customHeight="false" outlineLevel="0" collapsed="false">
      <c r="A58" s="25" t="s">
        <v>158</v>
      </c>
      <c r="B58" s="12" t="n">
        <f aca="false">$B$35*($B$57-$B$44)*((1+$B$39)/(1+$B$14))^$B$36</f>
        <v>25.2506811334055</v>
      </c>
      <c r="C58" s="25" t="s">
        <v>85</v>
      </c>
      <c r="D58" s="27" t="s">
        <v>159</v>
      </c>
    </row>
    <row r="59" customFormat="false" ht="15" hidden="false" customHeight="false" outlineLevel="0" collapsed="false">
      <c r="A59" s="25" t="s">
        <v>543</v>
      </c>
      <c r="B59" s="12" t="n">
        <f aca="false">$B$35*(1-$B$20)*$B$38*($B$47*$B$9/(1+$B$45)^$B$36-$B$25/(1+$B$45)^($B$36-1))/$B$11</f>
        <v>4.49956359562474</v>
      </c>
      <c r="C59" s="25" t="s">
        <v>85</v>
      </c>
      <c r="D59" s="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se">$B$56+$B$58+$B$59</f>
        <v>144.70446356759</v>
      </c>
      <c r="C60" s="25" t="s">
        <v>85</v>
      </c>
      <c r="D60" s="27"/>
    </row>
    <row r="62" customFormat="false" ht="15" hidden="false" customHeight="false" outlineLevel="0" collapsed="false">
      <c r="A62" s="40" t="s">
        <v>161</v>
      </c>
      <c r="B62" s="41"/>
      <c r="C62" s="41"/>
      <c r="D62" s="41"/>
    </row>
    <row r="63" customFormat="false" ht="15" hidden="false" customHeight="false" outlineLevel="0" collapsed="false">
      <c r="A63" s="13" t="s">
        <v>162</v>
      </c>
      <c r="B63" s="51" t="n">
        <f aca="false">$B$60</f>
        <v>144.70446356759</v>
      </c>
      <c r="C63" s="25" t="s">
        <v>85</v>
      </c>
      <c r="D63" s="2" t="s">
        <v>163</v>
      </c>
    </row>
    <row r="64" customFormat="false" ht="15" hidden="false" customHeight="false" outlineLevel="0" collapsed="false">
      <c r="A64" s="25" t="s">
        <v>164</v>
      </c>
      <c r="B64" s="7" t="n">
        <f aca="false">Сводка!$D$11</f>
        <v>114.75</v>
      </c>
      <c r="C64" s="25" t="s">
        <v>85</v>
      </c>
      <c r="D64" s="2" t="s">
        <v>165</v>
      </c>
    </row>
    <row r="65" customFormat="false" ht="15" hidden="false" customHeight="false" outlineLevel="0" collapsed="false">
      <c r="A65" s="25" t="s">
        <v>166</v>
      </c>
      <c r="B65" s="52" t="n">
        <f aca="false">$B$63*(1-Параметры!$B$10)</f>
        <v>111.422436947045</v>
      </c>
      <c r="C65" s="25" t="s">
        <v>85</v>
      </c>
      <c r="D65" s="2" t="s">
        <v>167</v>
      </c>
    </row>
    <row r="66" customFormat="false" ht="15" hidden="false" customHeight="false" outlineLevel="0" collapsed="false">
      <c r="A66" s="25" t="s">
        <v>168</v>
      </c>
      <c r="B66" s="52" t="n">
        <f aca="false">$B$63*(1+Параметры!$B$11)</f>
        <v>170.751267009757</v>
      </c>
      <c r="C66" s="25" t="s">
        <v>85</v>
      </c>
      <c r="D66" s="2" t="s">
        <v>169</v>
      </c>
    </row>
    <row r="67" customFormat="false" ht="15" hidden="false" customHeight="false" outlineLevel="0" collapsed="false">
      <c r="A67" s="25" t="s">
        <v>170</v>
      </c>
      <c r="B67" s="7" t="n">
        <f aca="false">$B$66*(1-Параметры!$B$12)</f>
        <v>162.213703659269</v>
      </c>
      <c r="C67" s="25" t="s">
        <v>85</v>
      </c>
      <c r="D67" s="2" t="s">
        <v>171</v>
      </c>
    </row>
    <row r="68" customFormat="false" ht="15" hidden="false" customHeight="false" outlineLevel="0" collapsed="false">
      <c r="A68" s="25" t="s">
        <v>172</v>
      </c>
      <c r="B68" s="8" t="n">
        <f aca="false">IF($B$64&gt;0,$B$63/$B$64-1,0)</f>
        <v>0.261041076841746</v>
      </c>
      <c r="C68" s="25" t="s">
        <v>70</v>
      </c>
      <c r="D68" s="2"/>
    </row>
    <row r="69" customFormat="false" ht="15" hidden="false" customHeight="false" outlineLevel="0" collapsed="false">
      <c r="A69" s="25" t="s">
        <v>173</v>
      </c>
      <c r="B69" s="8" t="n">
        <f aca="false">IF($B$64&gt;0,$B$66/$B$64-1,0)</f>
        <v>0.48802847067326</v>
      </c>
      <c r="C69" s="25" t="s">
        <v>70</v>
      </c>
      <c r="D69" s="2"/>
    </row>
    <row r="70" customFormat="false" ht="15" hidden="false" customHeight="false" outlineLevel="0" collapsed="false">
      <c r="A70" s="13" t="s">
        <v>11</v>
      </c>
      <c r="B70" s="4" t="str">
        <f aca="false">IF($B$64&lt;=$B$65,"ЗОНА ПОКУПКИ",IF($B$64&gt;=$B$66,"ЦЕНА ПРОДАЖИ",IF($B$64&gt;=$B$67,"ПРИБЛИЖАЕТСЯ К ПРОДАЖЕ","ДЕРЖАТЬ")))</f>
        <v>ДЕРЖАТЬ</v>
      </c>
      <c r="C70" s="25"/>
      <c r="D70" s="2" t="s">
        <v>174</v>
      </c>
    </row>
    <row r="72" customFormat="false" ht="15" hidden="false" customHeight="false" outlineLevel="0" collapsed="false">
      <c r="A72" s="40" t="s">
        <v>175</v>
      </c>
      <c r="B72" s="41"/>
      <c r="C72" s="41"/>
      <c r="D72" s="41"/>
    </row>
    <row r="73" customFormat="false" ht="15" hidden="false" customHeight="false" outlineLevel="0" collapsed="false">
      <c r="A73" s="25" t="s">
        <v>545</v>
      </c>
      <c r="B73" s="12" t="n">
        <f aca="false">$B$48/$B$11</f>
        <v>26.434498780504</v>
      </c>
      <c r="C73" s="25" t="s">
        <v>85</v>
      </c>
      <c r="D73" s="27" t="s">
        <v>546</v>
      </c>
    </row>
    <row r="74" customFormat="false" ht="15" hidden="false" customHeight="false" outlineLevel="0" collapsed="false">
      <c r="A74" s="25" t="s">
        <v>547</v>
      </c>
      <c r="B74" s="12" t="n">
        <f aca="false">$B$54/$B$11</f>
        <v>12.465542634504</v>
      </c>
      <c r="C74" s="25" t="s">
        <v>85</v>
      </c>
      <c r="D74" s="27" t="s">
        <v>548</v>
      </c>
    </row>
    <row r="75" customFormat="false" ht="15" hidden="false" customHeight="false" outlineLevel="0" collapsed="false">
      <c r="A75" s="25" t="s">
        <v>549</v>
      </c>
      <c r="B75" s="10" t="n">
        <f aca="false">IF($B$53&gt;0,(($B$33/(1+$B$45)^$B$34)*(1+$B$45)^$B$32/$B$53-$B$17*$B$33/$B$31)/(1-$B$17)*1000/($B$28*$B$15),0)</f>
        <v>71.1931322221587</v>
      </c>
      <c r="C75" s="25" t="s">
        <v>488</v>
      </c>
      <c r="D75" s="27" t="s">
        <v>550</v>
      </c>
    </row>
    <row r="76" customFormat="false" ht="22.35" hidden="false" customHeight="false" outlineLevel="0" collapsed="false">
      <c r="A76" s="25" t="s">
        <v>551</v>
      </c>
      <c r="B76" s="10" t="n">
        <f aca="false">($B$75+$B$19+$B$30)/(1-$B$18)</f>
        <v>194.561617460227</v>
      </c>
      <c r="C76" s="25" t="s">
        <v>488</v>
      </c>
      <c r="D76" s="27" t="s">
        <v>552</v>
      </c>
    </row>
    <row r="77" customFormat="false" ht="15" hidden="false" customHeight="false" outlineLevel="0" collapsed="false">
      <c r="A77" s="25" t="s">
        <v>553</v>
      </c>
      <c r="B77" s="53" t="n">
        <f aca="false">IF($B$8&gt;0,($B$64*$B$11+$B$10+$B$12-$B$13)/$B$8,0)</f>
        <v>2.57062432835821</v>
      </c>
      <c r="C77" s="25" t="s">
        <v>101</v>
      </c>
      <c r="D77" s="27"/>
    </row>
    <row r="78" customFormat="false" ht="15" hidden="false" customHeight="false" outlineLevel="0" collapsed="false">
      <c r="A78" s="25" t="s">
        <v>554</v>
      </c>
      <c r="B78" s="12" t="n">
        <f aca="false">141.33</f>
        <v>141.33</v>
      </c>
      <c r="C78" s="25" t="s">
        <v>85</v>
      </c>
      <c r="D78" s="27" t="s">
        <v>555</v>
      </c>
    </row>
    <row r="80" customFormat="false" ht="15" hidden="false" customHeight="false" outlineLevel="0" collapsed="false">
      <c r="A80" s="40" t="s">
        <v>556</v>
      </c>
      <c r="B80" s="41"/>
      <c r="C80" s="41"/>
      <c r="D80" s="41"/>
      <c r="E80" s="41"/>
      <c r="F80" s="41"/>
      <c r="G80" s="41"/>
    </row>
    <row r="81" customFormat="false" ht="15" hidden="false" customHeight="false" outlineLevel="0" collapsed="false">
      <c r="A81" s="13" t="s">
        <v>557</v>
      </c>
      <c r="B81" s="54" t="n">
        <v>2850</v>
      </c>
      <c r="C81" s="54" t="n">
        <v>3100</v>
      </c>
      <c r="D81" s="54" t="n">
        <v>3350</v>
      </c>
      <c r="E81" s="54" t="n">
        <v>3600</v>
      </c>
      <c r="F81" s="54" t="n">
        <v>3850</v>
      </c>
    </row>
    <row r="82" customFormat="false" ht="15" hidden="false" customHeight="false" outlineLevel="0" collapsed="false">
      <c r="A82" s="64" t="n">
        <v>2</v>
      </c>
      <c r="B82" s="10" t="n">
        <f aca="false">((B$81*$A82-$B$10-$B$12+$B$13)/$B$11+$B$20*($B$21*($B$22*(1-$B$18)-$B$19-$B$23)*$B$15/1000*$A82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B$81*$B$37-$B$10-$B$12+$B$13)/$B$11)-((B$81*$A82-$B$10-$B$12+$B$13)/$B$11))*((1+$B$39)/(1+$B$14))^$B$36+$B$35*(1-$B$20)*$B$38*($B$21*($B$22*(1-$B$18)-$B$19-$B$23)*$B$15/1000*$A82/(1+((1+$B$14)/(1+$B$16)-1))^$B$36-$B$25/(1+((1+$B$14)/(1+$B$16)-1))^($B$36-1))/$B$11</f>
        <v>41.4756201857404</v>
      </c>
      <c r="C82" s="10" t="n">
        <f aca="false">((C$81*$A82-$B$10-$B$12+$B$13)/$B$11+$B$20*($B$21*($B$22*(1-$B$18)-$B$19-$B$23)*$B$15/1000*$A82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C$81*$B$37-$B$10-$B$12+$B$13)/$B$11)-((C$81*$A82-$B$10-$B$12+$B$13)/$B$11))*((1+$B$39)/(1+$B$14))^$B$36+$B$35*(1-$B$20)*$B$38*($B$21*($B$22*(1-$B$18)-$B$19-$B$23)*$B$15/1000*$A82/(1+((1+$B$14)/(1+$B$16)-1))^$B$36-$B$25/(1+((1+$B$14)/(1+$B$16)-1))^($B$36-1))/$B$11</f>
        <v>65.8262007808581</v>
      </c>
      <c r="D82" s="10" t="n">
        <f aca="false">((D$81*$A82-$B$10-$B$12+$B$13)/$B$11+$B$20*($B$21*($B$22*(1-$B$18)-$B$19-$B$23)*$B$15/1000*$A82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D$81*$B$37-$B$10-$B$12+$B$13)/$B$11)-((D$81*$A82-$B$10-$B$12+$B$13)/$B$11))*((1+$B$39)/(1+$B$14))^$B$36+$B$35*(1-$B$20)*$B$38*($B$21*($B$22*(1-$B$18)-$B$19-$B$23)*$B$15/1000*$A82/(1+((1+$B$14)/(1+$B$16)-1))^$B$36-$B$25/(1+((1+$B$14)/(1+$B$16)-1))^($B$36-1))/$B$11</f>
        <v>90.1767813759757</v>
      </c>
      <c r="E82" s="10" t="n">
        <f aca="false">((E$81*$A82-$B$10-$B$12+$B$13)/$B$11+$B$20*($B$21*($B$22*(1-$B$18)-$B$19-$B$23)*$B$15/1000*$A82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E$81*$B$37-$B$10-$B$12+$B$13)/$B$11)-((E$81*$A82-$B$10-$B$12+$B$13)/$B$11))*((1+$B$39)/(1+$B$14))^$B$36+$B$35*(1-$B$20)*$B$38*($B$21*($B$22*(1-$B$18)-$B$19-$B$23)*$B$15/1000*$A82/(1+((1+$B$14)/(1+$B$16)-1))^$B$36-$B$25/(1+((1+$B$14)/(1+$B$16)-1))^($B$36-1))/$B$11</f>
        <v>114.527361971093</v>
      </c>
      <c r="F82" s="10" t="n">
        <f aca="false">((F$81*$A82-$B$10-$B$12+$B$13)/$B$11+$B$20*($B$21*($B$22*(1-$B$18)-$B$19-$B$23)*$B$15/1000*$A82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F$81*$B$37-$B$10-$B$12+$B$13)/$B$11)-((F$81*$A82-$B$10-$B$12+$B$13)/$B$11))*((1+$B$39)/(1+$B$14))^$B$36+$B$35*(1-$B$20)*$B$38*($B$21*($B$22*(1-$B$18)-$B$19-$B$23)*$B$15/1000*$A82/(1+((1+$B$14)/(1+$B$16)-1))^$B$36-$B$25/(1+((1+$B$14)/(1+$B$16)-1))^($B$36-1))/$B$11</f>
        <v>138.877942566211</v>
      </c>
    </row>
    <row r="83" customFormat="false" ht="15" hidden="false" customHeight="false" outlineLevel="0" collapsed="false">
      <c r="A83" s="64" t="n">
        <v>2.25</v>
      </c>
      <c r="B83" s="10" t="n">
        <f aca="false">((B$81*$A83-$B$10-$B$12+$B$13)/$B$11+$B$20*($B$21*($B$22*(1-$B$18)-$B$19-$B$23)*$B$15/1000*$A83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B$81*$B$37-$B$10-$B$12+$B$13)/$B$11)-((B$81*$A83-$B$10-$B$12+$B$13)/$B$11))*((1+$B$39)/(1+$B$14))^$B$36+$B$35*(1-$B$20)*$B$38*($B$21*($B$22*(1-$B$18)-$B$19-$B$23)*$B$15/1000*$A83/(1+((1+$B$14)/(1+$B$16)-1))^$B$36-$B$25/(1+((1+$B$14)/(1+$B$16)-1))^($B$36-1))/$B$11</f>
        <v>64.805392348837</v>
      </c>
      <c r="C83" s="10" t="n">
        <f aca="false">((C$81*$A83-$B$10-$B$12+$B$13)/$B$11+$B$20*($B$21*($B$22*(1-$B$18)-$B$19-$B$23)*$B$15/1000*$A83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C$81*$B$37-$B$10-$B$12+$B$13)/$B$11)-((C$81*$A83-$B$10-$B$12+$B$13)/$B$11))*((1+$B$39)/(1+$B$14))^$B$36+$B$35*(1-$B$20)*$B$38*($B$21*($B$22*(1-$B$18)-$B$19-$B$23)*$B$15/1000*$A83/(1+((1+$B$14)/(1+$B$16)-1))^$B$36-$B$25/(1+((1+$B$14)/(1+$B$16)-1))^($B$36-1))/$B$11</f>
        <v>91.12300741031</v>
      </c>
      <c r="D83" s="10" t="n">
        <f aca="false">((D$81*$A83-$B$10-$B$12+$B$13)/$B$11+$B$20*($B$21*($B$22*(1-$B$18)-$B$19-$B$23)*$B$15/1000*$A83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D$81*$B$37-$B$10-$B$12+$B$13)/$B$11)-((D$81*$A83-$B$10-$B$12+$B$13)/$B$11))*((1+$B$39)/(1+$B$14))^$B$36+$B$35*(1-$B$20)*$B$38*($B$21*($B$22*(1-$B$18)-$B$19-$B$23)*$B$15/1000*$A83/(1+((1+$B$14)/(1+$B$16)-1))^$B$36-$B$25/(1+((1+$B$14)/(1+$B$16)-1))^($B$36-1))/$B$11</f>
        <v>117.440622471783</v>
      </c>
      <c r="E83" s="10" t="n">
        <f aca="false">((E$81*$A83-$B$10-$B$12+$B$13)/$B$11+$B$20*($B$21*($B$22*(1-$B$18)-$B$19-$B$23)*$B$15/1000*$A83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E$81*$B$37-$B$10-$B$12+$B$13)/$B$11)-((E$81*$A83-$B$10-$B$12+$B$13)/$B$11))*((1+$B$39)/(1+$B$14))^$B$36+$B$35*(1-$B$20)*$B$38*($B$21*($B$22*(1-$B$18)-$B$19-$B$23)*$B$15/1000*$A83/(1+((1+$B$14)/(1+$B$16)-1))^$B$36-$B$25/(1+((1+$B$14)/(1+$B$16)-1))^($B$36-1))/$B$11</f>
        <v>143.758237533256</v>
      </c>
      <c r="F83" s="10" t="n">
        <f aca="false">((F$81*$A83-$B$10-$B$12+$B$13)/$B$11+$B$20*($B$21*($B$22*(1-$B$18)-$B$19-$B$23)*$B$15/1000*$A83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F$81*$B$37-$B$10-$B$12+$B$13)/$B$11)-((F$81*$A83-$B$10-$B$12+$B$13)/$B$11))*((1+$B$39)/(1+$B$14))^$B$36+$B$35*(1-$B$20)*$B$38*($B$21*($B$22*(1-$B$18)-$B$19-$B$23)*$B$15/1000*$A83/(1+((1+$B$14)/(1+$B$16)-1))^$B$36-$B$25/(1+((1+$B$14)/(1+$B$16)-1))^($B$36-1))/$B$11</f>
        <v>170.075852594729</v>
      </c>
    </row>
    <row r="84" customFormat="false" ht="15" hidden="false" customHeight="false" outlineLevel="0" collapsed="false">
      <c r="A84" s="64" t="n">
        <v>2.5</v>
      </c>
      <c r="B84" s="10" t="n">
        <f aca="false">((B$81*$A84-$B$10-$B$12+$B$13)/$B$11+$B$20*($B$21*($B$22*(1-$B$18)-$B$19-$B$23)*$B$15/1000*$A84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B$81*$B$37-$B$10-$B$12+$B$13)/$B$11)-((B$81*$A84-$B$10-$B$12+$B$13)/$B$11))*((1+$B$39)/(1+$B$14))^$B$36+$B$35*(1-$B$20)*$B$38*($B$21*($B$22*(1-$B$18)-$B$19-$B$23)*$B$15/1000*$A84/(1+((1+$B$14)/(1+$B$16)-1))^$B$36-$B$25/(1+((1+$B$14)/(1+$B$16)-1))^($B$36-1))/$B$11</f>
        <v>88.1351645119336</v>
      </c>
      <c r="C84" s="10" t="n">
        <f aca="false">((C$81*$A84-$B$10-$B$12+$B$13)/$B$11+$B$20*($B$21*($B$22*(1-$B$18)-$B$19-$B$23)*$B$15/1000*$A84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C$81*$B$37-$B$10-$B$12+$B$13)/$B$11)-((C$81*$A84-$B$10-$B$12+$B$13)/$B$11))*((1+$B$39)/(1+$B$14))^$B$36+$B$35*(1-$B$20)*$B$38*($B$21*($B$22*(1-$B$18)-$B$19-$B$23)*$B$15/1000*$A84/(1+((1+$B$14)/(1+$B$16)-1))^$B$36-$B$25/(1+((1+$B$14)/(1+$B$16)-1))^($B$36-1))/$B$11</f>
        <v>116.419814039762</v>
      </c>
      <c r="D84" s="56" t="n">
        <f aca="false">((D$81*$A84-$B$10-$B$12+$B$13)/$B$11+$B$20*($B$21*($B$22*(1-$B$18)-$B$19-$B$23)*$B$15/1000*$A84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D$81*$B$37-$B$10-$B$12+$B$13)/$B$11)-((D$81*$A84-$B$10-$B$12+$B$13)/$B$11))*((1+$B$39)/(1+$B$14))^$B$36+$B$35*(1-$B$20)*$B$38*($B$21*($B$22*(1-$B$18)-$B$19-$B$23)*$B$15/1000*$A84/(1+((1+$B$14)/(1+$B$16)-1))^$B$36-$B$25/(1+((1+$B$14)/(1+$B$16)-1))^($B$36-1))/$B$11</f>
        <v>144.70446356759</v>
      </c>
      <c r="E84" s="10" t="n">
        <f aca="false">((E$81*$A84-$B$10-$B$12+$B$13)/$B$11+$B$20*($B$21*($B$22*(1-$B$18)-$B$19-$B$23)*$B$15/1000*$A84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E$81*$B$37-$B$10-$B$12+$B$13)/$B$11)-((E$81*$A84-$B$10-$B$12+$B$13)/$B$11))*((1+$B$39)/(1+$B$14))^$B$36+$B$35*(1-$B$20)*$B$38*($B$21*($B$22*(1-$B$18)-$B$19-$B$23)*$B$15/1000*$A84/(1+((1+$B$14)/(1+$B$16)-1))^$B$36-$B$25/(1+((1+$B$14)/(1+$B$16)-1))^($B$36-1))/$B$11</f>
        <v>172.989113095419</v>
      </c>
      <c r="F84" s="10" t="n">
        <f aca="false">((F$81*$A84-$B$10-$B$12+$B$13)/$B$11+$B$20*($B$21*($B$22*(1-$B$18)-$B$19-$B$23)*$B$15/1000*$A84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F$81*$B$37-$B$10-$B$12+$B$13)/$B$11)-((F$81*$A84-$B$10-$B$12+$B$13)/$B$11))*((1+$B$39)/(1+$B$14))^$B$36+$B$35*(1-$B$20)*$B$38*($B$21*($B$22*(1-$B$18)-$B$19-$B$23)*$B$15/1000*$A84/(1+((1+$B$14)/(1+$B$16)-1))^$B$36-$B$25/(1+((1+$B$14)/(1+$B$16)-1))^($B$36-1))/$B$11</f>
        <v>201.273762623247</v>
      </c>
    </row>
    <row r="85" customFormat="false" ht="15" hidden="false" customHeight="false" outlineLevel="0" collapsed="false">
      <c r="A85" s="64" t="n">
        <v>2.75</v>
      </c>
      <c r="B85" s="10" t="n">
        <f aca="false">((B$81*$A85-$B$10-$B$12+$B$13)/$B$11+$B$20*($B$21*($B$22*(1-$B$18)-$B$19-$B$23)*$B$15/1000*$A85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B$81*$B$37-$B$10-$B$12+$B$13)/$B$11)-((B$81*$A85-$B$10-$B$12+$B$13)/$B$11))*((1+$B$39)/(1+$B$14))^$B$36+$B$35*(1-$B$20)*$B$38*($B$21*($B$22*(1-$B$18)-$B$19-$B$23)*$B$15/1000*$A85/(1+((1+$B$14)/(1+$B$16)-1))^$B$36-$B$25/(1+((1+$B$14)/(1+$B$16)-1))^($B$36-1))/$B$11</f>
        <v>111.46493667503</v>
      </c>
      <c r="C85" s="10" t="n">
        <f aca="false">((C$81*$A85-$B$10-$B$12+$B$13)/$B$11+$B$20*($B$21*($B$22*(1-$B$18)-$B$19-$B$23)*$B$15/1000*$A85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C$81*$B$37-$B$10-$B$12+$B$13)/$B$11)-((C$81*$A85-$B$10-$B$12+$B$13)/$B$11))*((1+$B$39)/(1+$B$14))^$B$36+$B$35*(1-$B$20)*$B$38*($B$21*($B$22*(1-$B$18)-$B$19-$B$23)*$B$15/1000*$A85/(1+((1+$B$14)/(1+$B$16)-1))^$B$36-$B$25/(1+((1+$B$14)/(1+$B$16)-1))^($B$36-1))/$B$11</f>
        <v>141.716620669214</v>
      </c>
      <c r="D85" s="10" t="n">
        <f aca="false">((D$81*$A85-$B$10-$B$12+$B$13)/$B$11+$B$20*($B$21*($B$22*(1-$B$18)-$B$19-$B$23)*$B$15/1000*$A85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D$81*$B$37-$B$10-$B$12+$B$13)/$B$11)-((D$81*$A85-$B$10-$B$12+$B$13)/$B$11))*((1+$B$39)/(1+$B$14))^$B$36+$B$35*(1-$B$20)*$B$38*($B$21*($B$22*(1-$B$18)-$B$19-$B$23)*$B$15/1000*$A85/(1+((1+$B$14)/(1+$B$16)-1))^$B$36-$B$25/(1+((1+$B$14)/(1+$B$16)-1))^($B$36-1))/$B$11</f>
        <v>171.968304663398</v>
      </c>
      <c r="E85" s="10" t="n">
        <f aca="false">((E$81*$A85-$B$10-$B$12+$B$13)/$B$11+$B$20*($B$21*($B$22*(1-$B$18)-$B$19-$B$23)*$B$15/1000*$A85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E$81*$B$37-$B$10-$B$12+$B$13)/$B$11)-((E$81*$A85-$B$10-$B$12+$B$13)/$B$11))*((1+$B$39)/(1+$B$14))^$B$36+$B$35*(1-$B$20)*$B$38*($B$21*($B$22*(1-$B$18)-$B$19-$B$23)*$B$15/1000*$A85/(1+((1+$B$14)/(1+$B$16)-1))^$B$36-$B$25/(1+((1+$B$14)/(1+$B$16)-1))^($B$36-1))/$B$11</f>
        <v>202.219988657581</v>
      </c>
      <c r="F85" s="10" t="n">
        <f aca="false">((F$81*$A85-$B$10-$B$12+$B$13)/$B$11+$B$20*($B$21*($B$22*(1-$B$18)-$B$19-$B$23)*$B$15/1000*$A85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F$81*$B$37-$B$10-$B$12+$B$13)/$B$11)-((F$81*$A85-$B$10-$B$12+$B$13)/$B$11))*((1+$B$39)/(1+$B$14))^$B$36+$B$35*(1-$B$20)*$B$38*($B$21*($B$22*(1-$B$18)-$B$19-$B$23)*$B$15/1000*$A85/(1+((1+$B$14)/(1+$B$16)-1))^$B$36-$B$25/(1+((1+$B$14)/(1+$B$16)-1))^($B$36-1))/$B$11</f>
        <v>232.471672651765</v>
      </c>
    </row>
    <row r="86" customFormat="false" ht="15" hidden="false" customHeight="false" outlineLevel="0" collapsed="false">
      <c r="A86" s="64" t="n">
        <v>3</v>
      </c>
      <c r="B86" s="10" t="n">
        <f aca="false">((B$81*$A86-$B$10-$B$12+$B$13)/$B$11+$B$20*($B$21*($B$22*(1-$B$18)-$B$19-$B$23)*$B$15/1000*$A86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B$81*$B$37-$B$10-$B$12+$B$13)/$B$11)-((B$81*$A86-$B$10-$B$12+$B$13)/$B$11))*((1+$B$39)/(1+$B$14))^$B$36+$B$35*(1-$B$20)*$B$38*($B$21*($B$22*(1-$B$18)-$B$19-$B$23)*$B$15/1000*$A86/(1+((1+$B$14)/(1+$B$16)-1))^$B$36-$B$25/(1+((1+$B$14)/(1+$B$16)-1))^($B$36-1))/$B$11</f>
        <v>134.794708838127</v>
      </c>
      <c r="C86" s="10" t="n">
        <f aca="false">((C$81*$A86-$B$10-$B$12+$B$13)/$B$11+$B$20*($B$21*($B$22*(1-$B$18)-$B$19-$B$23)*$B$15/1000*$A86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C$81*$B$37-$B$10-$B$12+$B$13)/$B$11)-((C$81*$A86-$B$10-$B$12+$B$13)/$B$11))*((1+$B$39)/(1+$B$14))^$B$36+$B$35*(1-$B$20)*$B$38*($B$21*($B$22*(1-$B$18)-$B$19-$B$23)*$B$15/1000*$A86/(1+((1+$B$14)/(1+$B$16)-1))^$B$36-$B$25/(1+((1+$B$14)/(1+$B$16)-1))^($B$36-1))/$B$11</f>
        <v>167.013427298666</v>
      </c>
      <c r="D86" s="10" t="n">
        <f aca="false">((D$81*$A86-$B$10-$B$12+$B$13)/$B$11+$B$20*($B$21*($B$22*(1-$B$18)-$B$19-$B$23)*$B$15/1000*$A86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D$81*$B$37-$B$10-$B$12+$B$13)/$B$11)-((D$81*$A86-$B$10-$B$12+$B$13)/$B$11))*((1+$B$39)/(1+$B$14))^$B$36+$B$35*(1-$B$20)*$B$38*($B$21*($B$22*(1-$B$18)-$B$19-$B$23)*$B$15/1000*$A86/(1+((1+$B$14)/(1+$B$16)-1))^$B$36-$B$25/(1+((1+$B$14)/(1+$B$16)-1))^($B$36-1))/$B$11</f>
        <v>199.232145759205</v>
      </c>
      <c r="E86" s="10" t="n">
        <f aca="false">((E$81*$A86-$B$10-$B$12+$B$13)/$B$11+$B$20*($B$21*($B$22*(1-$B$18)-$B$19-$B$23)*$B$15/1000*$A86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E$81*$B$37-$B$10-$B$12+$B$13)/$B$11)-((E$81*$A86-$B$10-$B$12+$B$13)/$B$11))*((1+$B$39)/(1+$B$14))^$B$36+$B$35*(1-$B$20)*$B$38*($B$21*($B$22*(1-$B$18)-$B$19-$B$23)*$B$15/1000*$A86/(1+((1+$B$14)/(1+$B$16)-1))^$B$36-$B$25/(1+((1+$B$14)/(1+$B$16)-1))^($B$36-1))/$B$11</f>
        <v>231.450864219744</v>
      </c>
      <c r="F86" s="10" t="n">
        <f aca="false">((F$81*$A86-$B$10-$B$12+$B$13)/$B$11+$B$20*($B$21*($B$22*(1-$B$18)-$B$19-$B$23)*$B$15/1000*$A86/(1+((1+$B$14)/(1+$B$16)-1))^$B$24-$B$25/(1+((1+$B$14)/(1+$B$16)-1))^$B$26)/$B$11+$B$27*((($B$28*($B$29*(1-$B$18)-$B$19-$B$30)*$B$15/1000)*(1-$B$17)+$B$17*$B$33/$B$31)*(1-(1+((1+$B$14)/(1+$B$16)-1))^(-$B$31))/((1+$B$14)/(1+$B$16)-1)/(1+((1+$B$14)/(1+$B$16)-1))^$B$32-$B$33/(1+((1+$B$14)/(1+$B$16)-1))^$B$34)/$B$11)+$B$35*(((F$81*$B$37-$B$10-$B$12+$B$13)/$B$11)-((F$81*$A86-$B$10-$B$12+$B$13)/$B$11))*((1+$B$39)/(1+$B$14))^$B$36+$B$35*(1-$B$20)*$B$38*($B$21*($B$22*(1-$B$18)-$B$19-$B$23)*$B$15/1000*$A86/(1+((1+$B$14)/(1+$B$16)-1))^$B$36-$B$25/(1+((1+$B$14)/(1+$B$16)-1))^($B$36-1))/$B$11</f>
        <v>263.669582680283</v>
      </c>
    </row>
    <row r="87" customFormat="false" ht="15" hidden="false" customHeight="false" outlineLevel="0" collapsed="false">
      <c r="A87" s="2" t="s">
        <v>192</v>
      </c>
    </row>
    <row r="89" customFormat="false" ht="15" hidden="false" customHeight="false" outlineLevel="0" collapsed="false">
      <c r="A89" s="40" t="s">
        <v>558</v>
      </c>
      <c r="B89" s="41"/>
      <c r="C89" s="41"/>
      <c r="D89" s="41"/>
      <c r="E89" s="41"/>
      <c r="F89" s="41"/>
      <c r="G89" s="41"/>
    </row>
    <row r="90" customFormat="false" ht="15" hidden="false" customHeight="false" outlineLevel="0" collapsed="false">
      <c r="A90" s="13" t="s">
        <v>559</v>
      </c>
      <c r="B90" s="54" t="n">
        <v>150</v>
      </c>
      <c r="C90" s="54" t="n">
        <v>200</v>
      </c>
      <c r="D90" s="54" t="n">
        <v>247.9</v>
      </c>
      <c r="E90" s="54" t="n">
        <v>300</v>
      </c>
      <c r="F90" s="54" t="n">
        <v>350</v>
      </c>
    </row>
    <row r="91" customFormat="false" ht="15" hidden="false" customHeight="false" outlineLevel="0" collapsed="false">
      <c r="A91" s="55" t="n">
        <v>0</v>
      </c>
      <c r="B91" s="10" t="n">
        <f aca="false">(($B$8*$B$9-$B$10-$B$12+$B$13)/$B$11+$A91*($B$21*($B$22*(1-$B$18)-$B$19-$B$23)*$B$15/1000*$B$9/(1+((1+$B$14)/(1+$B$16)-1))^$B$24-$B$25/(1+((1+$B$14)/(1+$B$16)-1))^$B$26)/$B$11+$B$27*((($B$28*(B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91)*$B$38*($B$21*($B$22*(1-$B$18)-$B$19-$B$23)*$B$15/1000*$B$9/(1+((1+$B$14)/(1+$B$16)-1))^$B$36-$B$25/(1+((1+$B$14)/(1+$B$16)-1))^($B$36-1))/$B$11</f>
        <v>130.093381585645</v>
      </c>
      <c r="C91" s="10" t="n">
        <f aca="false">(($B$8*$B$9-$B$10-$B$12+$B$13)/$B$11+$A91*($B$21*($B$22*(1-$B$18)-$B$19-$B$23)*$B$15/1000*$B$9/(1+((1+$B$14)/(1+$B$16)-1))^$B$24-$B$25/(1+((1+$B$14)/(1+$B$16)-1))^$B$26)/$B$11+$B$27*((($B$28*(C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91)*$B$38*($B$21*($B$22*(1-$B$18)-$B$19-$B$23)*$B$15/1000*$B$9/(1+((1+$B$14)/(1+$B$16)-1))^$B$36-$B$25/(1+((1+$B$14)/(1+$B$16)-1))^($B$36-1))/$B$11</f>
        <v>135.936051554691</v>
      </c>
      <c r="D91" s="10" t="n">
        <f aca="false">(($B$8*$B$9-$B$10-$B$12+$B$13)/$B$11+$A91*($B$21*($B$22*(1-$B$18)-$B$19-$B$23)*$B$15/1000*$B$9/(1+((1+$B$14)/(1+$B$16)-1))^$B$24-$B$25/(1+((1+$B$14)/(1+$B$16)-1))^$B$26)/$B$11+$B$27*((($B$28*(D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91)*$B$38*($B$21*($B$22*(1-$B$18)-$B$19-$B$23)*$B$15/1000*$B$9/(1+((1+$B$14)/(1+$B$16)-1))^$B$36-$B$25/(1+((1+$B$14)/(1+$B$16)-1))^($B$36-1))/$B$11</f>
        <v>141.533329385037</v>
      </c>
      <c r="E91" s="10" t="n">
        <f aca="false">(($B$8*$B$9-$B$10-$B$12+$B$13)/$B$11+$A91*($B$21*($B$22*(1-$B$18)-$B$19-$B$23)*$B$15/1000*$B$9/(1+((1+$B$14)/(1+$B$16)-1))^$B$24-$B$25/(1+((1+$B$14)/(1+$B$16)-1))^$B$26)/$B$11+$B$27*((($B$28*(E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91)*$B$38*($B$21*($B$22*(1-$B$18)-$B$19-$B$23)*$B$15/1000*$B$9/(1+((1+$B$14)/(1+$B$16)-1))^$B$36-$B$25/(1+((1+$B$14)/(1+$B$16)-1))^($B$36-1))/$B$11</f>
        <v>147.621391492782</v>
      </c>
      <c r="F91" s="10" t="n">
        <f aca="false">(($B$8*$B$9-$B$10-$B$12+$B$13)/$B$11+$A91*($B$21*($B$22*(1-$B$18)-$B$19-$B$23)*$B$15/1000*$B$9/(1+((1+$B$14)/(1+$B$16)-1))^$B$24-$B$25/(1+((1+$B$14)/(1+$B$16)-1))^$B$26)/$B$11+$B$27*((($B$28*(F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91)*$B$38*($B$21*($B$22*(1-$B$18)-$B$19-$B$23)*$B$15/1000*$B$9/(1+((1+$B$14)/(1+$B$16)-1))^$B$36-$B$25/(1+((1+$B$14)/(1+$B$16)-1))^($B$36-1))/$B$11</f>
        <v>153.464061461828</v>
      </c>
    </row>
    <row r="92" customFormat="false" ht="15" hidden="false" customHeight="false" outlineLevel="0" collapsed="false">
      <c r="A92" s="55" t="n">
        <v>0.075</v>
      </c>
      <c r="B92" s="10" t="n">
        <f aca="false">(($B$8*$B$9-$B$10-$B$12+$B$13)/$B$11+$A92*($B$21*($B$22*(1-$B$18)-$B$19-$B$23)*$B$15/1000*$B$9/(1+((1+$B$14)/(1+$B$16)-1))^$B$24-$B$25/(1+((1+$B$14)/(1+$B$16)-1))^$B$26)/$B$11+$B$27*((($B$28*(B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92)*$B$38*($B$21*($B$22*(1-$B$18)-$B$19-$B$23)*$B$15/1000*$B$9/(1+((1+$B$14)/(1+$B$16)-1))^$B$36-$B$25/(1+((1+$B$14)/(1+$B$16)-1))^($B$36-1))/$B$11</f>
        <v>131.678948676922</v>
      </c>
      <c r="C92" s="10" t="n">
        <f aca="false">(($B$8*$B$9-$B$10-$B$12+$B$13)/$B$11+$A92*($B$21*($B$22*(1-$B$18)-$B$19-$B$23)*$B$15/1000*$B$9/(1+((1+$B$14)/(1+$B$16)-1))^$B$24-$B$25/(1+((1+$B$14)/(1+$B$16)-1))^$B$26)/$B$11+$B$27*((($B$28*(C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92)*$B$38*($B$21*($B$22*(1-$B$18)-$B$19-$B$23)*$B$15/1000*$B$9/(1+((1+$B$14)/(1+$B$16)-1))^$B$36-$B$25/(1+((1+$B$14)/(1+$B$16)-1))^($B$36-1))/$B$11</f>
        <v>137.521618645968</v>
      </c>
      <c r="D92" s="10" t="n">
        <f aca="false">(($B$8*$B$9-$B$10-$B$12+$B$13)/$B$11+$A92*($B$21*($B$22*(1-$B$18)-$B$19-$B$23)*$B$15/1000*$B$9/(1+((1+$B$14)/(1+$B$16)-1))^$B$24-$B$25/(1+((1+$B$14)/(1+$B$16)-1))^$B$26)/$B$11+$B$27*((($B$28*(D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92)*$B$38*($B$21*($B$22*(1-$B$18)-$B$19-$B$23)*$B$15/1000*$B$9/(1+((1+$B$14)/(1+$B$16)-1))^$B$36-$B$25/(1+((1+$B$14)/(1+$B$16)-1))^($B$36-1))/$B$11</f>
        <v>143.118896476314</v>
      </c>
      <c r="E92" s="10" t="n">
        <f aca="false">(($B$8*$B$9-$B$10-$B$12+$B$13)/$B$11+$A92*($B$21*($B$22*(1-$B$18)-$B$19-$B$23)*$B$15/1000*$B$9/(1+((1+$B$14)/(1+$B$16)-1))^$B$24-$B$25/(1+((1+$B$14)/(1+$B$16)-1))^$B$26)/$B$11+$B$27*((($B$28*(E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92)*$B$38*($B$21*($B$22*(1-$B$18)-$B$19-$B$23)*$B$15/1000*$B$9/(1+((1+$B$14)/(1+$B$16)-1))^$B$36-$B$25/(1+((1+$B$14)/(1+$B$16)-1))^($B$36-1))/$B$11</f>
        <v>149.206958584059</v>
      </c>
      <c r="F92" s="10" t="n">
        <f aca="false">(($B$8*$B$9-$B$10-$B$12+$B$13)/$B$11+$A92*($B$21*($B$22*(1-$B$18)-$B$19-$B$23)*$B$15/1000*$B$9/(1+((1+$B$14)/(1+$B$16)-1))^$B$24-$B$25/(1+((1+$B$14)/(1+$B$16)-1))^$B$26)/$B$11+$B$27*((($B$28*(F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92)*$B$38*($B$21*($B$22*(1-$B$18)-$B$19-$B$23)*$B$15/1000*$B$9/(1+((1+$B$14)/(1+$B$16)-1))^$B$36-$B$25/(1+((1+$B$14)/(1+$B$16)-1))^($B$36-1))/$B$11</f>
        <v>155.049628553105</v>
      </c>
    </row>
    <row r="93" customFormat="false" ht="15" hidden="false" customHeight="false" outlineLevel="0" collapsed="false">
      <c r="A93" s="55" t="n">
        <v>0.15</v>
      </c>
      <c r="B93" s="10" t="n">
        <f aca="false">(($B$8*$B$9-$B$10-$B$12+$B$13)/$B$11+$A93*($B$21*($B$22*(1-$B$18)-$B$19-$B$23)*$B$15/1000*$B$9/(1+((1+$B$14)/(1+$B$16)-1))^$B$24-$B$25/(1+((1+$B$14)/(1+$B$16)-1))^$B$26)/$B$11+$B$27*((($B$28*(B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93)*$B$38*($B$21*($B$22*(1-$B$18)-$B$19-$B$23)*$B$15/1000*$B$9/(1+((1+$B$14)/(1+$B$16)-1))^$B$36-$B$25/(1+((1+$B$14)/(1+$B$16)-1))^($B$36-1))/$B$11</f>
        <v>133.264515768199</v>
      </c>
      <c r="C93" s="10" t="n">
        <f aca="false">(($B$8*$B$9-$B$10-$B$12+$B$13)/$B$11+$A93*($B$21*($B$22*(1-$B$18)-$B$19-$B$23)*$B$15/1000*$B$9/(1+((1+$B$14)/(1+$B$16)-1))^$B$24-$B$25/(1+((1+$B$14)/(1+$B$16)-1))^$B$26)/$B$11+$B$27*((($B$28*(C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93)*$B$38*($B$21*($B$22*(1-$B$18)-$B$19-$B$23)*$B$15/1000*$B$9/(1+((1+$B$14)/(1+$B$16)-1))^$B$36-$B$25/(1+((1+$B$14)/(1+$B$16)-1))^($B$36-1))/$B$11</f>
        <v>139.107185737245</v>
      </c>
      <c r="D93" s="56" t="n">
        <f aca="false">(($B$8*$B$9-$B$10-$B$12+$B$13)/$B$11+$A93*($B$21*($B$22*(1-$B$18)-$B$19-$B$23)*$B$15/1000*$B$9/(1+((1+$B$14)/(1+$B$16)-1))^$B$24-$B$25/(1+((1+$B$14)/(1+$B$16)-1))^$B$26)/$B$11+$B$27*((($B$28*(D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93)*$B$38*($B$21*($B$22*(1-$B$18)-$B$19-$B$23)*$B$15/1000*$B$9/(1+((1+$B$14)/(1+$B$16)-1))^$B$36-$B$25/(1+((1+$B$14)/(1+$B$16)-1))^($B$36-1))/$B$11</f>
        <v>144.70446356759</v>
      </c>
      <c r="E93" s="10" t="n">
        <f aca="false">(($B$8*$B$9-$B$10-$B$12+$B$13)/$B$11+$A93*($B$21*($B$22*(1-$B$18)-$B$19-$B$23)*$B$15/1000*$B$9/(1+((1+$B$14)/(1+$B$16)-1))^$B$24-$B$25/(1+((1+$B$14)/(1+$B$16)-1))^$B$26)/$B$11+$B$27*((($B$28*(E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93)*$B$38*($B$21*($B$22*(1-$B$18)-$B$19-$B$23)*$B$15/1000*$B$9/(1+((1+$B$14)/(1+$B$16)-1))^$B$36-$B$25/(1+((1+$B$14)/(1+$B$16)-1))^($B$36-1))/$B$11</f>
        <v>150.792525675336</v>
      </c>
      <c r="F93" s="10" t="n">
        <f aca="false">(($B$8*$B$9-$B$10-$B$12+$B$13)/$B$11+$A93*($B$21*($B$22*(1-$B$18)-$B$19-$B$23)*$B$15/1000*$B$9/(1+((1+$B$14)/(1+$B$16)-1))^$B$24-$B$25/(1+((1+$B$14)/(1+$B$16)-1))^$B$26)/$B$11+$B$27*((($B$28*(F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93)*$B$38*($B$21*($B$22*(1-$B$18)-$B$19-$B$23)*$B$15/1000*$B$9/(1+((1+$B$14)/(1+$B$16)-1))^$B$36-$B$25/(1+((1+$B$14)/(1+$B$16)-1))^($B$36-1))/$B$11</f>
        <v>156.635195644381</v>
      </c>
    </row>
    <row r="94" customFormat="false" ht="15" hidden="false" customHeight="false" outlineLevel="0" collapsed="false">
      <c r="A94" s="55" t="n">
        <v>0.3</v>
      </c>
      <c r="B94" s="10" t="n">
        <f aca="false">(($B$8*$B$9-$B$10-$B$12+$B$13)/$B$11+$A94*($B$21*($B$22*(1-$B$18)-$B$19-$B$23)*$B$15/1000*$B$9/(1+((1+$B$14)/(1+$B$16)-1))^$B$24-$B$25/(1+((1+$B$14)/(1+$B$16)-1))^$B$26)/$B$11+$B$27*((($B$28*(B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94)*$B$38*($B$21*($B$22*(1-$B$18)-$B$19-$B$23)*$B$15/1000*$B$9/(1+((1+$B$14)/(1+$B$16)-1))^$B$36-$B$25/(1+((1+$B$14)/(1+$B$16)-1))^($B$36-1))/$B$11</f>
        <v>136.435649950753</v>
      </c>
      <c r="C94" s="10" t="n">
        <f aca="false">(($B$8*$B$9-$B$10-$B$12+$B$13)/$B$11+$A94*($B$21*($B$22*(1-$B$18)-$B$19-$B$23)*$B$15/1000*$B$9/(1+((1+$B$14)/(1+$B$16)-1))^$B$24-$B$25/(1+((1+$B$14)/(1+$B$16)-1))^$B$26)/$B$11+$B$27*((($B$28*(C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94)*$B$38*($B$21*($B$22*(1-$B$18)-$B$19-$B$23)*$B$15/1000*$B$9/(1+((1+$B$14)/(1+$B$16)-1))^$B$36-$B$25/(1+((1+$B$14)/(1+$B$16)-1))^($B$36-1))/$B$11</f>
        <v>142.278319919798</v>
      </c>
      <c r="D94" s="10" t="n">
        <f aca="false">(($B$8*$B$9-$B$10-$B$12+$B$13)/$B$11+$A94*($B$21*($B$22*(1-$B$18)-$B$19-$B$23)*$B$15/1000*$B$9/(1+((1+$B$14)/(1+$B$16)-1))^$B$24-$B$25/(1+((1+$B$14)/(1+$B$16)-1))^$B$26)/$B$11+$B$27*((($B$28*(D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94)*$B$38*($B$21*($B$22*(1-$B$18)-$B$19-$B$23)*$B$15/1000*$B$9/(1+((1+$B$14)/(1+$B$16)-1))^$B$36-$B$25/(1+((1+$B$14)/(1+$B$16)-1))^($B$36-1))/$B$11</f>
        <v>147.875597750144</v>
      </c>
      <c r="E94" s="10" t="n">
        <f aca="false">(($B$8*$B$9-$B$10-$B$12+$B$13)/$B$11+$A94*($B$21*($B$22*(1-$B$18)-$B$19-$B$23)*$B$15/1000*$B$9/(1+((1+$B$14)/(1+$B$16)-1))^$B$24-$B$25/(1+((1+$B$14)/(1+$B$16)-1))^$B$26)/$B$11+$B$27*((($B$28*(E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94)*$B$38*($B$21*($B$22*(1-$B$18)-$B$19-$B$23)*$B$15/1000*$B$9/(1+((1+$B$14)/(1+$B$16)-1))^$B$36-$B$25/(1+((1+$B$14)/(1+$B$16)-1))^($B$36-1))/$B$11</f>
        <v>153.963659857889</v>
      </c>
      <c r="F94" s="10" t="n">
        <f aca="false">(($B$8*$B$9-$B$10-$B$12+$B$13)/$B$11+$A94*($B$21*($B$22*(1-$B$18)-$B$19-$B$23)*$B$15/1000*$B$9/(1+((1+$B$14)/(1+$B$16)-1))^$B$24-$B$25/(1+((1+$B$14)/(1+$B$16)-1))^$B$26)/$B$11+$B$27*((($B$28*(F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94)*$B$38*($B$21*($B$22*(1-$B$18)-$B$19-$B$23)*$B$15/1000*$B$9/(1+((1+$B$14)/(1+$B$16)-1))^$B$36-$B$25/(1+((1+$B$14)/(1+$B$16)-1))^($B$36-1))/$B$11</f>
        <v>159.806329826935</v>
      </c>
    </row>
    <row r="95" customFormat="false" ht="15" hidden="false" customHeight="false" outlineLevel="0" collapsed="false">
      <c r="A95" s="55" t="n">
        <v>0.5</v>
      </c>
      <c r="B95" s="10" t="n">
        <f aca="false">(($B$8*$B$9-$B$10-$B$12+$B$13)/$B$11+$A95*($B$21*($B$22*(1-$B$18)-$B$19-$B$23)*$B$15/1000*$B$9/(1+((1+$B$14)/(1+$B$16)-1))^$B$24-$B$25/(1+((1+$B$14)/(1+$B$16)-1))^$B$26)/$B$11+$B$27*((($B$28*(B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95)*$B$38*($B$21*($B$22*(1-$B$18)-$B$19-$B$23)*$B$15/1000*$B$9/(1+((1+$B$14)/(1+$B$16)-1))^$B$36-$B$25/(1+((1+$B$14)/(1+$B$16)-1))^($B$36-1))/$B$11</f>
        <v>140.663828860824</v>
      </c>
      <c r="C95" s="10" t="n">
        <f aca="false">(($B$8*$B$9-$B$10-$B$12+$B$13)/$B$11+$A95*($B$21*($B$22*(1-$B$18)-$B$19-$B$23)*$B$15/1000*$B$9/(1+((1+$B$14)/(1+$B$16)-1))^$B$24-$B$25/(1+((1+$B$14)/(1+$B$16)-1))^$B$26)/$B$11+$B$27*((($B$28*(C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95)*$B$38*($B$21*($B$22*(1-$B$18)-$B$19-$B$23)*$B$15/1000*$B$9/(1+((1+$B$14)/(1+$B$16)-1))^$B$36-$B$25/(1+((1+$B$14)/(1+$B$16)-1))^($B$36-1))/$B$11</f>
        <v>146.50649882987</v>
      </c>
      <c r="D95" s="10" t="n">
        <f aca="false">(($B$8*$B$9-$B$10-$B$12+$B$13)/$B$11+$A95*($B$21*($B$22*(1-$B$18)-$B$19-$B$23)*$B$15/1000*$B$9/(1+((1+$B$14)/(1+$B$16)-1))^$B$24-$B$25/(1+((1+$B$14)/(1+$B$16)-1))^$B$26)/$B$11+$B$27*((($B$28*(D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95)*$B$38*($B$21*($B$22*(1-$B$18)-$B$19-$B$23)*$B$15/1000*$B$9/(1+((1+$B$14)/(1+$B$16)-1))^$B$36-$B$25/(1+((1+$B$14)/(1+$B$16)-1))^($B$36-1))/$B$11</f>
        <v>152.103776660215</v>
      </c>
      <c r="E95" s="10" t="n">
        <f aca="false">(($B$8*$B$9-$B$10-$B$12+$B$13)/$B$11+$A95*($B$21*($B$22*(1-$B$18)-$B$19-$B$23)*$B$15/1000*$B$9/(1+((1+$B$14)/(1+$B$16)-1))^$B$24-$B$25/(1+((1+$B$14)/(1+$B$16)-1))^$B$26)/$B$11+$B$27*((($B$28*(E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95)*$B$38*($B$21*($B$22*(1-$B$18)-$B$19-$B$23)*$B$15/1000*$B$9/(1+((1+$B$14)/(1+$B$16)-1))^$B$36-$B$25/(1+((1+$B$14)/(1+$B$16)-1))^($B$36-1))/$B$11</f>
        <v>158.191838767961</v>
      </c>
      <c r="F95" s="10" t="n">
        <f aca="false">(($B$8*$B$9-$B$10-$B$12+$B$13)/$B$11+$A95*($B$21*($B$22*(1-$B$18)-$B$19-$B$23)*$B$15/1000*$B$9/(1+((1+$B$14)/(1+$B$16)-1))^$B$24-$B$25/(1+((1+$B$14)/(1+$B$16)-1))^$B$26)/$B$11+$B$27*((($B$28*(F$90*(1-$B$18)-$B$19-$B$30)*$B$15/1000)*(1-$B$17)+$B$17*$B$33/$B$31)*(1-(1+((1+$B$14)/(1+$B$16)-1))^(-$B$31))/((1+$B$14)/(1+$B$16)-1)/(1+((1+$B$14)/(1+$B$16)-1))^$B$32-$B$33/(1+((1+$B$14)/(1+$B$16)-1))^$B$34)/$B$11)+$B$35*((($B$8*$B$37-$B$10-$B$12+$B$13)/$B$11)-(($B$8*$B$9-$B$10-$B$12+$B$13)/$B$11))*((1+$B$39)/(1+$B$14))^$B$36+$B$35*(1-$A95)*$B$38*($B$21*($B$22*(1-$B$18)-$B$19-$B$23)*$B$15/1000*$B$9/(1+((1+$B$14)/(1+$B$16)-1))^$B$36-$B$25/(1+((1+$B$14)/(1+$B$16)-1))^($B$36-1))/$B$11</f>
        <v>164.034508737007</v>
      </c>
    </row>
    <row r="96" customFormat="false" ht="15" hidden="false" customHeight="false" outlineLevel="0" collapsed="false">
      <c r="A96" s="2" t="s">
        <v>192</v>
      </c>
    </row>
    <row r="98" customFormat="false" ht="15" hidden="false" customHeight="false" outlineLevel="0" collapsed="false">
      <c r="A98" s="40" t="s">
        <v>195</v>
      </c>
      <c r="B98" s="41"/>
      <c r="C98" s="41"/>
      <c r="D98" s="41"/>
    </row>
    <row r="99" customFormat="false" ht="43.5" hidden="false" customHeight="true" outlineLevel="0" collapsed="false">
      <c r="A99" s="57" t="s">
        <v>560</v>
      </c>
      <c r="B99" s="57"/>
      <c r="C99" s="57"/>
      <c r="D99" s="57"/>
    </row>
    <row r="100" customFormat="false" ht="15" hidden="false" customHeight="false" outlineLevel="0" collapsed="false">
      <c r="A100" s="58" t="s">
        <v>561</v>
      </c>
      <c r="B100" s="58"/>
      <c r="C100" s="58"/>
      <c r="D100" s="58"/>
    </row>
    <row r="101" customFormat="false" ht="15" hidden="false" customHeight="false" outlineLevel="0" collapsed="false">
      <c r="A101" s="58" t="s">
        <v>562</v>
      </c>
      <c r="B101" s="58"/>
      <c r="C101" s="58"/>
      <c r="D101" s="58"/>
    </row>
    <row r="102" customFormat="false" ht="15" hidden="false" customHeight="false" outlineLevel="0" collapsed="false">
      <c r="A102" s="58" t="s">
        <v>563</v>
      </c>
      <c r="B102" s="58"/>
      <c r="C102" s="58"/>
      <c r="D102" s="58"/>
    </row>
    <row r="103" customFormat="false" ht="15" hidden="false" customHeight="false" outlineLevel="0" collapsed="false">
      <c r="A103" s="58" t="s">
        <v>564</v>
      </c>
      <c r="B103" s="58"/>
      <c r="C103" s="58"/>
      <c r="D103" s="58"/>
    </row>
    <row r="105" customFormat="false" ht="15" hidden="false" customHeight="false" outlineLevel="0" collapsed="false">
      <c r="A105" s="40" t="s">
        <v>201</v>
      </c>
      <c r="B105" s="41"/>
      <c r="C105" s="41"/>
      <c r="D105" s="41"/>
    </row>
    <row r="106" customFormat="false" ht="15" hidden="false" customHeight="false" outlineLevel="0" collapsed="false">
      <c r="A106" s="58" t="s">
        <v>565</v>
      </c>
      <c r="B106" s="58"/>
      <c r="C106" s="58"/>
      <c r="D106" s="58"/>
    </row>
    <row r="107" customFormat="false" ht="15" hidden="false" customHeight="false" outlineLevel="0" collapsed="false">
      <c r="A107" s="58" t="s">
        <v>566</v>
      </c>
      <c r="B107" s="58"/>
      <c r="C107" s="58"/>
      <c r="D107" s="58"/>
    </row>
    <row r="108" customFormat="false" ht="15" hidden="false" customHeight="false" outlineLevel="0" collapsed="false">
      <c r="A108" s="58" t="s">
        <v>567</v>
      </c>
      <c r="B108" s="58"/>
      <c r="C108" s="58"/>
      <c r="D108" s="58"/>
    </row>
    <row r="109" customFormat="false" ht="15" hidden="false" customHeight="false" outlineLevel="0" collapsed="false">
      <c r="A109" s="58" t="s">
        <v>568</v>
      </c>
      <c r="B109" s="58"/>
      <c r="C109" s="58"/>
      <c r="D109" s="58"/>
    </row>
    <row r="111" customFormat="false" ht="15" hidden="false" customHeight="false" outlineLevel="0" collapsed="false">
      <c r="A111" s="40" t="s">
        <v>207</v>
      </c>
      <c r="B111" s="41"/>
      <c r="C111" s="41"/>
      <c r="D111" s="41"/>
    </row>
    <row r="112" customFormat="false" ht="15" hidden="false" customHeight="false" outlineLevel="0" collapsed="false">
      <c r="A112" s="16" t="s">
        <v>569</v>
      </c>
      <c r="B112" s="16"/>
      <c r="C112" s="16"/>
      <c r="D112" s="16"/>
    </row>
    <row r="113" customFormat="false" ht="15" hidden="false" customHeight="false" outlineLevel="0" collapsed="false">
      <c r="A113" s="16" t="s">
        <v>570</v>
      </c>
      <c r="B113" s="16"/>
      <c r="C113" s="16"/>
      <c r="D113" s="16"/>
    </row>
    <row r="114" customFormat="false" ht="15" hidden="false" customHeight="false" outlineLevel="0" collapsed="false">
      <c r="A114" s="16" t="s">
        <v>571</v>
      </c>
      <c r="B114" s="16"/>
      <c r="C114" s="16"/>
      <c r="D114" s="16"/>
    </row>
    <row r="115" customFormat="false" ht="15" hidden="false" customHeight="false" outlineLevel="0" collapsed="false">
      <c r="A115" s="16" t="s">
        <v>572</v>
      </c>
      <c r="B115" s="16"/>
      <c r="C115" s="16"/>
      <c r="D115" s="16"/>
    </row>
    <row r="116" customFormat="false" ht="15" hidden="false" customHeight="false" outlineLevel="0" collapsed="false">
      <c r="A116" s="16" t="s">
        <v>573</v>
      </c>
      <c r="B116" s="16"/>
      <c r="C116" s="16"/>
      <c r="D116" s="16"/>
    </row>
    <row r="117" customFormat="false" ht="15" hidden="false" customHeight="false" outlineLevel="0" collapsed="false">
      <c r="A117" s="16" t="s">
        <v>574</v>
      </c>
      <c r="B117" s="16"/>
      <c r="C117" s="16"/>
      <c r="D117" s="16"/>
    </row>
    <row r="118" customFormat="false" ht="15" hidden="false" customHeight="false" outlineLevel="0" collapsed="false">
      <c r="A118" s="16" t="s">
        <v>575</v>
      </c>
      <c r="B118" s="16"/>
      <c r="C118" s="16"/>
      <c r="D118" s="16"/>
    </row>
  </sheetData>
  <mergeCells count="17">
    <mergeCell ref="A3:D3"/>
    <mergeCell ref="A99:D99"/>
    <mergeCell ref="A100:D100"/>
    <mergeCell ref="A101:D101"/>
    <mergeCell ref="A102:D102"/>
    <mergeCell ref="A103:D103"/>
    <mergeCell ref="A106:D106"/>
    <mergeCell ref="A107:D107"/>
    <mergeCell ref="A108:D108"/>
    <mergeCell ref="A109:D109"/>
    <mergeCell ref="A112:D112"/>
    <mergeCell ref="A113:D113"/>
    <mergeCell ref="A114:D114"/>
    <mergeCell ref="A115:D115"/>
    <mergeCell ref="A116:D116"/>
    <mergeCell ref="A117:D117"/>
    <mergeCell ref="A118:D1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80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1" t="s">
        <v>576</v>
      </c>
    </row>
    <row r="2" customFormat="false" ht="15" hidden="false" customHeight="false" outlineLevel="0" collapsed="false">
      <c r="A2" s="13" t="s">
        <v>577</v>
      </c>
    </row>
    <row r="3" customFormat="false" ht="42" hidden="false" customHeight="true" outlineLevel="0" collapsed="false">
      <c r="A3" s="39" t="s">
        <v>578</v>
      </c>
      <c r="B3" s="39"/>
      <c r="C3" s="39"/>
      <c r="D3" s="39"/>
    </row>
    <row r="4" customFormat="false" ht="15" hidden="false" customHeight="false" outlineLevel="0" collapsed="false">
      <c r="A4" s="2" t="s">
        <v>116</v>
      </c>
    </row>
    <row r="6" customFormat="false" ht="15" hidden="false" customHeight="false" outlineLevel="0" collapsed="false">
      <c r="A6" s="24" t="s">
        <v>117</v>
      </c>
      <c r="B6" s="24" t="s">
        <v>64</v>
      </c>
      <c r="C6" s="24" t="s">
        <v>65</v>
      </c>
      <c r="D6" s="24" t="s">
        <v>66</v>
      </c>
    </row>
    <row r="7" customFormat="false" ht="15" hidden="false" customHeight="false" outlineLevel="0" collapsed="false">
      <c r="A7" s="40" t="s">
        <v>118</v>
      </c>
      <c r="B7" s="41"/>
      <c r="C7" s="41"/>
      <c r="D7" s="41"/>
    </row>
    <row r="8" customFormat="false" ht="22.35" hidden="false" customHeight="false" outlineLevel="0" collapsed="false">
      <c r="A8" s="25" t="s">
        <v>579</v>
      </c>
      <c r="B8" s="60" t="n">
        <v>830</v>
      </c>
      <c r="C8" s="25" t="s">
        <v>96</v>
      </c>
      <c r="D8" s="27" t="s">
        <v>580</v>
      </c>
    </row>
    <row r="9" customFormat="false" ht="22.35" hidden="false" customHeight="false" outlineLevel="0" collapsed="false">
      <c r="A9" s="25" t="s">
        <v>581</v>
      </c>
      <c r="B9" s="45" t="n">
        <v>0.2</v>
      </c>
      <c r="C9" s="25" t="s">
        <v>70</v>
      </c>
      <c r="D9" s="27" t="s">
        <v>582</v>
      </c>
    </row>
    <row r="10" customFormat="false" ht="22.35" hidden="false" customHeight="false" outlineLevel="0" collapsed="false">
      <c r="A10" s="25" t="s">
        <v>233</v>
      </c>
      <c r="B10" s="49" t="n">
        <v>4</v>
      </c>
      <c r="C10" s="25" t="s">
        <v>101</v>
      </c>
      <c r="D10" s="27" t="s">
        <v>583</v>
      </c>
    </row>
    <row r="11" customFormat="false" ht="15" hidden="false" customHeight="false" outlineLevel="0" collapsed="false">
      <c r="A11" s="25" t="s">
        <v>242</v>
      </c>
      <c r="B11" s="11" t="n">
        <f aca="false">Параметры!$B$9</f>
        <v>0.19</v>
      </c>
      <c r="C11" s="25" t="s">
        <v>70</v>
      </c>
      <c r="D11" s="27" t="s">
        <v>132</v>
      </c>
    </row>
    <row r="12" customFormat="false" ht="22.35" hidden="false" customHeight="false" outlineLevel="0" collapsed="false">
      <c r="A12" s="25" t="s">
        <v>584</v>
      </c>
      <c r="B12" s="44" t="n">
        <v>1.5</v>
      </c>
      <c r="C12" s="25" t="s">
        <v>93</v>
      </c>
      <c r="D12" s="27" t="s">
        <v>585</v>
      </c>
    </row>
    <row r="13" customFormat="false" ht="15" hidden="false" customHeight="false" outlineLevel="0" collapsed="false">
      <c r="A13" s="25" t="s">
        <v>586</v>
      </c>
      <c r="B13" s="60" t="n">
        <v>-40.7</v>
      </c>
      <c r="C13" s="25" t="s">
        <v>96</v>
      </c>
      <c r="D13" s="27" t="s">
        <v>587</v>
      </c>
    </row>
    <row r="14" customFormat="false" ht="15" hidden="false" customHeight="false" outlineLevel="0" collapsed="false">
      <c r="A14" s="25" t="s">
        <v>239</v>
      </c>
      <c r="B14" s="44" t="n">
        <v>5.9932</v>
      </c>
      <c r="C14" s="25" t="s">
        <v>124</v>
      </c>
      <c r="D14" s="27" t="s">
        <v>588</v>
      </c>
    </row>
    <row r="15" customFormat="false" ht="15" hidden="false" customHeight="false" outlineLevel="0" collapsed="false">
      <c r="A15" s="25" t="s">
        <v>589</v>
      </c>
      <c r="B15" s="60" t="n">
        <v>115</v>
      </c>
      <c r="C15" s="25" t="s">
        <v>96</v>
      </c>
      <c r="D15" s="27" t="s">
        <v>590</v>
      </c>
    </row>
    <row r="16" customFormat="false" ht="15" hidden="false" customHeight="false" outlineLevel="0" collapsed="false">
      <c r="A16" s="25" t="s">
        <v>138</v>
      </c>
      <c r="B16" s="11" t="n">
        <f aca="false">Параметры!$B$15</f>
        <v>0.5</v>
      </c>
      <c r="C16" s="25" t="s">
        <v>70</v>
      </c>
      <c r="D16" s="27" t="s">
        <v>132</v>
      </c>
    </row>
    <row r="17" customFormat="false" ht="15" hidden="false" customHeight="false" outlineLevel="0" collapsed="false">
      <c r="A17" s="25" t="s">
        <v>92</v>
      </c>
      <c r="B17" s="48" t="n">
        <f aca="false">Параметры!$B$16</f>
        <v>5</v>
      </c>
      <c r="C17" s="25" t="s">
        <v>93</v>
      </c>
      <c r="D17" s="27" t="s">
        <v>132</v>
      </c>
    </row>
    <row r="18" customFormat="false" ht="15" hidden="false" customHeight="false" outlineLevel="0" collapsed="false">
      <c r="A18" s="25" t="s">
        <v>243</v>
      </c>
      <c r="B18" s="49" t="n">
        <v>5.5</v>
      </c>
      <c r="C18" s="25" t="s">
        <v>101</v>
      </c>
      <c r="D18" s="27" t="s">
        <v>591</v>
      </c>
    </row>
    <row r="19" customFormat="false" ht="22.35" hidden="false" customHeight="false" outlineLevel="0" collapsed="false">
      <c r="A19" s="25" t="s">
        <v>592</v>
      </c>
      <c r="B19" s="45" t="n">
        <v>0.24</v>
      </c>
      <c r="C19" s="25" t="s">
        <v>70</v>
      </c>
      <c r="D19" s="27" t="s">
        <v>593</v>
      </c>
    </row>
    <row r="20" customFormat="false" ht="15" hidden="false" customHeight="false" outlineLevel="0" collapsed="false">
      <c r="A20" s="25" t="s">
        <v>141</v>
      </c>
      <c r="B20" s="43" t="n">
        <v>0.05</v>
      </c>
      <c r="C20" s="25" t="s">
        <v>70</v>
      </c>
      <c r="D20" s="27" t="s">
        <v>594</v>
      </c>
    </row>
    <row r="22" customFormat="false" ht="15" hidden="false" customHeight="false" outlineLevel="0" collapsed="false">
      <c r="A22" s="40" t="s">
        <v>143</v>
      </c>
      <c r="B22" s="41"/>
      <c r="C22" s="41"/>
      <c r="D22" s="41"/>
    </row>
    <row r="23" customFormat="false" ht="15" hidden="false" customHeight="false" outlineLevel="0" collapsed="false">
      <c r="A23" s="25" t="s">
        <v>595</v>
      </c>
      <c r="B23" s="50" t="n">
        <f aca="false">$B$8*$B$9</f>
        <v>166</v>
      </c>
      <c r="C23" s="25" t="s">
        <v>96</v>
      </c>
      <c r="D23" s="27"/>
    </row>
    <row r="24" customFormat="false" ht="15" hidden="false" customHeight="false" outlineLevel="0" collapsed="false">
      <c r="A24" s="25" t="s">
        <v>596</v>
      </c>
      <c r="B24" s="50" t="n">
        <f aca="false">$B$23*$B$10</f>
        <v>664</v>
      </c>
      <c r="C24" s="25" t="s">
        <v>96</v>
      </c>
      <c r="D24" s="27"/>
    </row>
    <row r="25" customFormat="false" ht="15" hidden="false" customHeight="false" outlineLevel="0" collapsed="false">
      <c r="A25" s="25" t="s">
        <v>597</v>
      </c>
      <c r="B25" s="50" t="n">
        <f aca="false">$B$24/(1+$B$11)^$B$12</f>
        <v>511.502354644313</v>
      </c>
      <c r="C25" s="25" t="s">
        <v>96</v>
      </c>
      <c r="D25" s="27"/>
    </row>
    <row r="26" customFormat="false" ht="15" hidden="false" customHeight="false" outlineLevel="0" collapsed="false">
      <c r="A26" s="25" t="s">
        <v>296</v>
      </c>
      <c r="B26" s="50" t="n">
        <f aca="false">$B$25-$B$13</f>
        <v>552.202354644313</v>
      </c>
      <c r="C26" s="25" t="s">
        <v>96</v>
      </c>
      <c r="D26" s="27"/>
    </row>
    <row r="27" customFormat="false" ht="15" hidden="false" customHeight="false" outlineLevel="0" collapsed="false">
      <c r="A27" s="25" t="s">
        <v>155</v>
      </c>
      <c r="B27" s="12" t="n">
        <f aca="false">IF($B$14&gt;0,$B$26/$B$14,0)</f>
        <v>92.1381490095964</v>
      </c>
      <c r="C27" s="25" t="s">
        <v>85</v>
      </c>
      <c r="D27" s="27"/>
    </row>
    <row r="28" customFormat="false" ht="15" hidden="false" customHeight="false" outlineLevel="0" collapsed="false">
      <c r="A28" s="25" t="s">
        <v>156</v>
      </c>
      <c r="B28" s="12" t="n">
        <f aca="false">($B$8*$B$19*$B$18/(1+$B$11)^$B$12-$B$13)/$B$14</f>
        <v>147.613776473856</v>
      </c>
      <c r="C28" s="25" t="s">
        <v>85</v>
      </c>
      <c r="D28" s="27" t="s">
        <v>252</v>
      </c>
    </row>
    <row r="29" customFormat="false" ht="15" hidden="false" customHeight="false" outlineLevel="0" collapsed="false">
      <c r="A29" s="25" t="s">
        <v>158</v>
      </c>
      <c r="B29" s="12" t="n">
        <f aca="false">$B$16*($B$28-$B$27)*((1+$B$20)/(1+$B$11))^$B$17</f>
        <v>14.8348758380853</v>
      </c>
      <c r="C29" s="25" t="s">
        <v>85</v>
      </c>
      <c r="D29" s="27" t="s">
        <v>159</v>
      </c>
    </row>
    <row r="30" customFormat="false" ht="15" hidden="false" customHeight="false" outlineLevel="0" collapsed="false">
      <c r="A30" s="25" t="s">
        <v>160</v>
      </c>
      <c r="B30" s="12" t="n">
        <f aca="false">$B$27+$B$29</f>
        <v>106.973024847682</v>
      </c>
      <c r="C30" s="25" t="s">
        <v>85</v>
      </c>
      <c r="D30" s="27"/>
    </row>
    <row r="32" customFormat="false" ht="15" hidden="false" customHeight="false" outlineLevel="0" collapsed="false">
      <c r="A32" s="40" t="s">
        <v>161</v>
      </c>
      <c r="B32" s="41"/>
      <c r="C32" s="41"/>
      <c r="D32" s="41"/>
    </row>
    <row r="33" customFormat="false" ht="15" hidden="false" customHeight="false" outlineLevel="0" collapsed="false">
      <c r="A33" s="13" t="s">
        <v>162</v>
      </c>
      <c r="B33" s="51" t="n">
        <f aca="false">$B$30</f>
        <v>106.973024847682</v>
      </c>
      <c r="C33" s="25" t="s">
        <v>85</v>
      </c>
      <c r="D33" s="2" t="s">
        <v>163</v>
      </c>
    </row>
    <row r="34" customFormat="false" ht="15" hidden="false" customHeight="false" outlineLevel="0" collapsed="false">
      <c r="A34" s="25" t="s">
        <v>164</v>
      </c>
      <c r="B34" s="7" t="n">
        <f aca="false">Сводка!$D$12</f>
        <v>76.44</v>
      </c>
      <c r="C34" s="25" t="s">
        <v>85</v>
      </c>
      <c r="D34" s="2" t="s">
        <v>165</v>
      </c>
    </row>
    <row r="35" customFormat="false" ht="15" hidden="false" customHeight="false" outlineLevel="0" collapsed="false">
      <c r="A35" s="25" t="s">
        <v>166</v>
      </c>
      <c r="B35" s="52" t="n">
        <f aca="false">$B$33*(1-Параметры!$B$10)</f>
        <v>82.3692291327149</v>
      </c>
      <c r="C35" s="25" t="s">
        <v>85</v>
      </c>
      <c r="D35" s="2" t="s">
        <v>167</v>
      </c>
    </row>
    <row r="36" customFormat="false" ht="15" hidden="false" customHeight="false" outlineLevel="0" collapsed="false">
      <c r="A36" s="25" t="s">
        <v>168</v>
      </c>
      <c r="B36" s="52" t="n">
        <f aca="false">$B$33*(1+Параметры!$B$11)</f>
        <v>126.228169320264</v>
      </c>
      <c r="C36" s="25" t="s">
        <v>85</v>
      </c>
      <c r="D36" s="2" t="s">
        <v>169</v>
      </c>
    </row>
    <row r="37" customFormat="false" ht="15" hidden="false" customHeight="false" outlineLevel="0" collapsed="false">
      <c r="A37" s="25" t="s">
        <v>170</v>
      </c>
      <c r="B37" s="7" t="n">
        <f aca="false">$B$36*(1-Параметры!$B$12)</f>
        <v>119.916760854251</v>
      </c>
      <c r="C37" s="25" t="s">
        <v>85</v>
      </c>
      <c r="D37" s="2" t="s">
        <v>171</v>
      </c>
    </row>
    <row r="38" customFormat="false" ht="15" hidden="false" customHeight="false" outlineLevel="0" collapsed="false">
      <c r="A38" s="25" t="s">
        <v>172</v>
      </c>
      <c r="B38" s="8" t="n">
        <f aca="false">IF($B$34&gt;0,$B$33/$B$34-1,0)</f>
        <v>0.399437792355856</v>
      </c>
      <c r="C38" s="25" t="s">
        <v>70</v>
      </c>
      <c r="D38" s="2"/>
    </row>
    <row r="39" customFormat="false" ht="15" hidden="false" customHeight="false" outlineLevel="0" collapsed="false">
      <c r="A39" s="25" t="s">
        <v>173</v>
      </c>
      <c r="B39" s="8" t="n">
        <f aca="false">IF($B$34&gt;0,$B$36/$B$34-1,0)</f>
        <v>0.65133659497991</v>
      </c>
      <c r="C39" s="25" t="s">
        <v>70</v>
      </c>
      <c r="D39" s="2"/>
    </row>
    <row r="40" customFormat="false" ht="15" hidden="false" customHeight="false" outlineLevel="0" collapsed="false">
      <c r="A40" s="13" t="s">
        <v>11</v>
      </c>
      <c r="B40" s="4" t="str">
        <f aca="false">IF($B$34&lt;=$B$35,"ЗОНА ПОКУПКИ",IF($B$34&gt;=$B$36,"ЦЕНА ПРОДАЖИ",IF($B$34&gt;=$B$37,"ПРИБЛИЖАЕТСЯ К ПРОДАЖЕ","ДЕРЖАТЬ")))</f>
        <v>ЗОНА ПОКУПКИ</v>
      </c>
      <c r="C40" s="25"/>
      <c r="D40" s="2" t="s">
        <v>174</v>
      </c>
    </row>
    <row r="42" customFormat="false" ht="15" hidden="false" customHeight="false" outlineLevel="0" collapsed="false">
      <c r="A42" s="40" t="s">
        <v>175</v>
      </c>
      <c r="B42" s="41"/>
      <c r="C42" s="41"/>
      <c r="D42" s="41"/>
    </row>
    <row r="43" customFormat="false" ht="15" hidden="false" customHeight="false" outlineLevel="0" collapsed="false">
      <c r="A43" s="25" t="s">
        <v>598</v>
      </c>
      <c r="B43" s="53" t="n">
        <f aca="false">IF($B$15&gt;0,($B$34*$B$14+$B$13)/$B$15,0)</f>
        <v>3.62974093913043</v>
      </c>
      <c r="C43" s="25" t="s">
        <v>101</v>
      </c>
      <c r="D43" s="27" t="s">
        <v>599</v>
      </c>
    </row>
    <row r="44" customFormat="false" ht="15" hidden="false" customHeight="false" outlineLevel="0" collapsed="false">
      <c r="A44" s="25" t="s">
        <v>600</v>
      </c>
      <c r="B44" s="53" t="n">
        <f aca="false">IF($B$23&gt;0,($B$34*$B$14+$B$13)/$B$23,0)</f>
        <v>2.51457956626506</v>
      </c>
      <c r="C44" s="25" t="s">
        <v>101</v>
      </c>
      <c r="D44" s="27"/>
    </row>
    <row r="45" customFormat="false" ht="15" hidden="false" customHeight="false" outlineLevel="0" collapsed="false">
      <c r="A45" s="25" t="s">
        <v>601</v>
      </c>
      <c r="B45" s="12" t="n">
        <f aca="false">74.1</f>
        <v>74.1</v>
      </c>
      <c r="C45" s="25" t="s">
        <v>85</v>
      </c>
      <c r="D45" s="27" t="s">
        <v>602</v>
      </c>
    </row>
    <row r="47" customFormat="false" ht="15" hidden="false" customHeight="false" outlineLevel="0" collapsed="false">
      <c r="A47" s="40" t="s">
        <v>603</v>
      </c>
      <c r="B47" s="41"/>
      <c r="C47" s="41"/>
      <c r="D47" s="41"/>
      <c r="E47" s="41"/>
      <c r="F47" s="41"/>
      <c r="G47" s="41"/>
    </row>
    <row r="48" customFormat="false" ht="15" hidden="false" customHeight="false" outlineLevel="0" collapsed="false">
      <c r="A48" s="13" t="s">
        <v>604</v>
      </c>
      <c r="B48" s="63" t="n">
        <v>0.16</v>
      </c>
      <c r="C48" s="63" t="n">
        <v>0.18</v>
      </c>
      <c r="D48" s="63" t="n">
        <v>0.2</v>
      </c>
      <c r="E48" s="63" t="n">
        <v>0.22</v>
      </c>
      <c r="F48" s="63" t="n">
        <v>0.24</v>
      </c>
    </row>
    <row r="49" customFormat="false" ht="15" hidden="false" customHeight="false" outlineLevel="0" collapsed="false">
      <c r="A49" s="64" t="n">
        <v>3</v>
      </c>
      <c r="B49" s="10" t="n">
        <f aca="false">(($B$8*B$48*$A49/(1+$B$11)^$B$12-$B$13)/$B$14)+$B$16*((($B$8*$B$19*$B$18/(1+$B$11)^$B$12-$B$13)/$B$14)-(($B$8*B$48*$A49/(1+$B$11)^$B$12-$B$13)/$B$14))*((1+$B$20)/(1+$B$11))^$B$17</f>
        <v>81.9633315392664</v>
      </c>
      <c r="C49" s="10" t="n">
        <f aca="false">(($B$8*C$48*$A49/(1+$B$11)^$B$12-$B$13)/$B$14)+$B$16*((($B$8*$B$19*$B$18/(1+$B$11)^$B$12-$B$13)/$B$14)-(($B$8*C$48*$A49/(1+$B$11)^$B$12-$B$13)/$B$14))*((1+$B$20)/(1+$B$11))^$B$17</f>
        <v>86.6526490345943</v>
      </c>
      <c r="D49" s="10" t="n">
        <f aca="false">(($B$8*D$48*$A49/(1+$B$11)^$B$12-$B$13)/$B$14)+$B$16*((($B$8*$B$19*$B$18/(1+$B$11)^$B$12-$B$13)/$B$14)-(($B$8*D$48*$A49/(1+$B$11)^$B$12-$B$13)/$B$14))*((1+$B$20)/(1+$B$11))^$B$17</f>
        <v>91.3419665299221</v>
      </c>
      <c r="E49" s="10" t="n">
        <f aca="false">(($B$8*E$48*$A49/(1+$B$11)^$B$12-$B$13)/$B$14)+$B$16*((($B$8*$B$19*$B$18/(1+$B$11)^$B$12-$B$13)/$B$14)-(($B$8*E$48*$A49/(1+$B$11)^$B$12-$B$13)/$B$14))*((1+$B$20)/(1+$B$11))^$B$17</f>
        <v>96.03128402525</v>
      </c>
      <c r="F49" s="10" t="n">
        <f aca="false">(($B$8*F$48*$A49/(1+$B$11)^$B$12-$B$13)/$B$14)+$B$16*((($B$8*$B$19*$B$18/(1+$B$11)^$B$12-$B$13)/$B$14)-(($B$8*F$48*$A49/(1+$B$11)^$B$12-$B$13)/$B$14))*((1+$B$20)/(1+$B$11))^$B$17</f>
        <v>100.720601520578</v>
      </c>
    </row>
    <row r="50" customFormat="false" ht="15" hidden="false" customHeight="false" outlineLevel="0" collapsed="false">
      <c r="A50" s="64" t="n">
        <v>3.5</v>
      </c>
      <c r="B50" s="10" t="n">
        <f aca="false">(($B$8*B$48*$A50/(1+$B$11)^$B$12-$B$13)/$B$14)+$B$16*((($B$8*$B$19*$B$18/(1+$B$11)^$B$12-$B$13)/$B$14)-(($B$8*B$48*$A50/(1+$B$11)^$B$12-$B$13)/$B$14))*((1+$B$20)/(1+$B$11))^$B$17</f>
        <v>88.2157548663702</v>
      </c>
      <c r="C50" s="10" t="n">
        <f aca="false">(($B$8*C$48*$A50/(1+$B$11)^$B$12-$B$13)/$B$14)+$B$16*((($B$8*$B$19*$B$18/(1+$B$11)^$B$12-$B$13)/$B$14)-(($B$8*C$48*$A50/(1+$B$11)^$B$12-$B$13)/$B$14))*((1+$B$20)/(1+$B$11))^$B$17</f>
        <v>93.6866252775861</v>
      </c>
      <c r="D50" s="10" t="n">
        <f aca="false">(($B$8*D$48*$A50/(1+$B$11)^$B$12-$B$13)/$B$14)+$B$16*((($B$8*$B$19*$B$18/(1+$B$11)^$B$12-$B$13)/$B$14)-(($B$8*D$48*$A50/(1+$B$11)^$B$12-$B$13)/$B$14))*((1+$B$20)/(1+$B$11))^$B$17</f>
        <v>99.1574956888019</v>
      </c>
      <c r="E50" s="10" t="n">
        <f aca="false">(($B$8*E$48*$A50/(1+$B$11)^$B$12-$B$13)/$B$14)+$B$16*((($B$8*$B$19*$B$18/(1+$B$11)^$B$12-$B$13)/$B$14)-(($B$8*E$48*$A50/(1+$B$11)^$B$12-$B$13)/$B$14))*((1+$B$20)/(1+$B$11))^$B$17</f>
        <v>104.628366100018</v>
      </c>
      <c r="F50" s="10" t="n">
        <f aca="false">(($B$8*F$48*$A50/(1+$B$11)^$B$12-$B$13)/$B$14)+$B$16*((($B$8*$B$19*$B$18/(1+$B$11)^$B$12-$B$13)/$B$14)-(($B$8*F$48*$A50/(1+$B$11)^$B$12-$B$13)/$B$14))*((1+$B$20)/(1+$B$11))^$B$17</f>
        <v>110.099236511234</v>
      </c>
    </row>
    <row r="51" customFormat="false" ht="15" hidden="false" customHeight="false" outlineLevel="0" collapsed="false">
      <c r="A51" s="64" t="n">
        <v>4</v>
      </c>
      <c r="B51" s="10" t="n">
        <f aca="false">(($B$8*B$48*$A51/(1+$B$11)^$B$12-$B$13)/$B$14)+$B$16*((($B$8*$B$19*$B$18/(1+$B$11)^$B$12-$B$13)/$B$14)-(($B$8*B$48*$A51/(1+$B$11)^$B$12-$B$13)/$B$14))*((1+$B$20)/(1+$B$11))^$B$17</f>
        <v>94.468178193474</v>
      </c>
      <c r="C51" s="10" t="n">
        <f aca="false">(($B$8*C$48*$A51/(1+$B$11)^$B$12-$B$13)/$B$14)+$B$16*((($B$8*$B$19*$B$18/(1+$B$11)^$B$12-$B$13)/$B$14)-(($B$8*C$48*$A51/(1+$B$11)^$B$12-$B$13)/$B$14))*((1+$B$20)/(1+$B$11))^$B$17</f>
        <v>100.720601520578</v>
      </c>
      <c r="D51" s="56" t="n">
        <f aca="false">(($B$8*D$48*$A51/(1+$B$11)^$B$12-$B$13)/$B$14)+$B$16*((($B$8*$B$19*$B$18/(1+$B$11)^$B$12-$B$13)/$B$14)-(($B$8*D$48*$A51/(1+$B$11)^$B$12-$B$13)/$B$14))*((1+$B$20)/(1+$B$11))^$B$17</f>
        <v>106.973024847682</v>
      </c>
      <c r="E51" s="10" t="n">
        <f aca="false">(($B$8*E$48*$A51/(1+$B$11)^$B$12-$B$13)/$B$14)+$B$16*((($B$8*$B$19*$B$18/(1+$B$11)^$B$12-$B$13)/$B$14)-(($B$8*E$48*$A51/(1+$B$11)^$B$12-$B$13)/$B$14))*((1+$B$20)/(1+$B$11))^$B$17</f>
        <v>113.225448174785</v>
      </c>
      <c r="F51" s="10" t="n">
        <f aca="false">(($B$8*F$48*$A51/(1+$B$11)^$B$12-$B$13)/$B$14)+$B$16*((($B$8*$B$19*$B$18/(1+$B$11)^$B$12-$B$13)/$B$14)-(($B$8*F$48*$A51/(1+$B$11)^$B$12-$B$13)/$B$14))*((1+$B$20)/(1+$B$11))^$B$17</f>
        <v>119.477871501889</v>
      </c>
    </row>
    <row r="52" customFormat="false" ht="15" hidden="false" customHeight="false" outlineLevel="0" collapsed="false">
      <c r="A52" s="64" t="n">
        <v>4.5</v>
      </c>
      <c r="B52" s="10" t="n">
        <f aca="false">(($B$8*B$48*$A52/(1+$B$11)^$B$12-$B$13)/$B$14)+$B$16*((($B$8*$B$19*$B$18/(1+$B$11)^$B$12-$B$13)/$B$14)-(($B$8*B$48*$A52/(1+$B$11)^$B$12-$B$13)/$B$14))*((1+$B$20)/(1+$B$11))^$B$17</f>
        <v>100.720601520578</v>
      </c>
      <c r="C52" s="10" t="n">
        <f aca="false">(($B$8*C$48*$A52/(1+$B$11)^$B$12-$B$13)/$B$14)+$B$16*((($B$8*$B$19*$B$18/(1+$B$11)^$B$12-$B$13)/$B$14)-(($B$8*C$48*$A52/(1+$B$11)^$B$12-$B$13)/$B$14))*((1+$B$20)/(1+$B$11))^$B$17</f>
        <v>107.75457776357</v>
      </c>
      <c r="D52" s="10" t="n">
        <f aca="false">(($B$8*D$48*$A52/(1+$B$11)^$B$12-$B$13)/$B$14)+$B$16*((($B$8*$B$19*$B$18/(1+$B$11)^$B$12-$B$13)/$B$14)-(($B$8*D$48*$A52/(1+$B$11)^$B$12-$B$13)/$B$14))*((1+$B$20)/(1+$B$11))^$B$17</f>
        <v>114.788554006561</v>
      </c>
      <c r="E52" s="10" t="n">
        <f aca="false">(($B$8*E$48*$A52/(1+$B$11)^$B$12-$B$13)/$B$14)+$B$16*((($B$8*$B$19*$B$18/(1+$B$11)^$B$12-$B$13)/$B$14)-(($B$8*E$48*$A52/(1+$B$11)^$B$12-$B$13)/$B$14))*((1+$B$20)/(1+$B$11))^$B$17</f>
        <v>121.822530249553</v>
      </c>
      <c r="F52" s="10" t="n">
        <f aca="false">(($B$8*F$48*$A52/(1+$B$11)^$B$12-$B$13)/$B$14)+$B$16*((($B$8*$B$19*$B$18/(1+$B$11)^$B$12-$B$13)/$B$14)-(($B$8*F$48*$A52/(1+$B$11)^$B$12-$B$13)/$B$14))*((1+$B$20)/(1+$B$11))^$B$17</f>
        <v>128.856506492545</v>
      </c>
    </row>
    <row r="53" customFormat="false" ht="15" hidden="false" customHeight="false" outlineLevel="0" collapsed="false">
      <c r="A53" s="64" t="n">
        <v>5</v>
      </c>
      <c r="B53" s="10" t="n">
        <f aca="false">(($B$8*B$48*$A53/(1+$B$11)^$B$12-$B$13)/$B$14)+$B$16*((($B$8*$B$19*$B$18/(1+$B$11)^$B$12-$B$13)/$B$14)-(($B$8*B$48*$A53/(1+$B$11)^$B$12-$B$13)/$B$14))*((1+$B$20)/(1+$B$11))^$B$17</f>
        <v>106.973024847682</v>
      </c>
      <c r="C53" s="10" t="n">
        <f aca="false">(($B$8*C$48*$A53/(1+$B$11)^$B$12-$B$13)/$B$14)+$B$16*((($B$8*$B$19*$B$18/(1+$B$11)^$B$12-$B$13)/$B$14)-(($B$8*C$48*$A53/(1+$B$11)^$B$12-$B$13)/$B$14))*((1+$B$20)/(1+$B$11))^$B$17</f>
        <v>114.788554006561</v>
      </c>
      <c r="D53" s="10" t="n">
        <f aca="false">(($B$8*D$48*$A53/(1+$B$11)^$B$12-$B$13)/$B$14)+$B$16*((($B$8*$B$19*$B$18/(1+$B$11)^$B$12-$B$13)/$B$14)-(($B$8*D$48*$A53/(1+$B$11)^$B$12-$B$13)/$B$14))*((1+$B$20)/(1+$B$11))^$B$17</f>
        <v>122.604083165441</v>
      </c>
      <c r="E53" s="10" t="n">
        <f aca="false">(($B$8*E$48*$A53/(1+$B$11)^$B$12-$B$13)/$B$14)+$B$16*((($B$8*$B$19*$B$18/(1+$B$11)^$B$12-$B$13)/$B$14)-(($B$8*E$48*$A53/(1+$B$11)^$B$12-$B$13)/$B$14))*((1+$B$20)/(1+$B$11))^$B$17</f>
        <v>130.419612324321</v>
      </c>
      <c r="F53" s="10" t="n">
        <f aca="false">(($B$8*F$48*$A53/(1+$B$11)^$B$12-$B$13)/$B$14)+$B$16*((($B$8*$B$19*$B$18/(1+$B$11)^$B$12-$B$13)/$B$14)-(($B$8*F$48*$A53/(1+$B$11)^$B$12-$B$13)/$B$14))*((1+$B$20)/(1+$B$11))^$B$17</f>
        <v>138.235141483201</v>
      </c>
    </row>
    <row r="54" customFormat="false" ht="15" hidden="false" customHeight="false" outlineLevel="0" collapsed="false">
      <c r="A54" s="2" t="s">
        <v>192</v>
      </c>
    </row>
    <row r="56" customFormat="false" ht="15" hidden="false" customHeight="false" outlineLevel="0" collapsed="false">
      <c r="A56" s="40" t="s">
        <v>195</v>
      </c>
      <c r="B56" s="41"/>
      <c r="C56" s="41"/>
      <c r="D56" s="41"/>
    </row>
    <row r="57" customFormat="false" ht="43.5" hidden="false" customHeight="true" outlineLevel="0" collapsed="false">
      <c r="A57" s="57" t="s">
        <v>605</v>
      </c>
      <c r="B57" s="57"/>
      <c r="C57" s="57"/>
      <c r="D57" s="57"/>
    </row>
    <row r="58" customFormat="false" ht="15" hidden="false" customHeight="false" outlineLevel="0" collapsed="false">
      <c r="A58" s="58" t="s">
        <v>606</v>
      </c>
      <c r="B58" s="58"/>
      <c r="C58" s="58"/>
      <c r="D58" s="58"/>
    </row>
    <row r="59" customFormat="false" ht="15" hidden="false" customHeight="false" outlineLevel="0" collapsed="false">
      <c r="A59" s="58" t="s">
        <v>607</v>
      </c>
      <c r="B59" s="58"/>
      <c r="C59" s="58"/>
      <c r="D59" s="58"/>
    </row>
    <row r="60" customFormat="false" ht="15" hidden="false" customHeight="false" outlineLevel="0" collapsed="false">
      <c r="A60" s="58" t="s">
        <v>608</v>
      </c>
      <c r="B60" s="58"/>
      <c r="C60" s="58"/>
      <c r="D60" s="58"/>
    </row>
    <row r="61" customFormat="false" ht="15" hidden="false" customHeight="false" outlineLevel="0" collapsed="false">
      <c r="A61" s="58" t="s">
        <v>609</v>
      </c>
      <c r="B61" s="58"/>
      <c r="C61" s="58"/>
      <c r="D61" s="58"/>
    </row>
    <row r="62" customFormat="false" ht="15" hidden="false" customHeight="false" outlineLevel="0" collapsed="false">
      <c r="A62" s="58" t="s">
        <v>610</v>
      </c>
      <c r="B62" s="58"/>
      <c r="C62" s="58"/>
      <c r="D62" s="58"/>
    </row>
    <row r="64" customFormat="false" ht="15" hidden="false" customHeight="false" outlineLevel="0" collapsed="false">
      <c r="A64" s="40" t="s">
        <v>201</v>
      </c>
      <c r="B64" s="41"/>
      <c r="C64" s="41"/>
      <c r="D64" s="41"/>
    </row>
    <row r="65" customFormat="false" ht="15" hidden="false" customHeight="false" outlineLevel="0" collapsed="false">
      <c r="A65" s="58" t="s">
        <v>611</v>
      </c>
      <c r="B65" s="58"/>
      <c r="C65" s="58"/>
      <c r="D65" s="58"/>
    </row>
    <row r="66" customFormat="false" ht="15" hidden="false" customHeight="false" outlineLevel="0" collapsed="false">
      <c r="A66" s="58" t="s">
        <v>612</v>
      </c>
      <c r="B66" s="58"/>
      <c r="C66" s="58"/>
      <c r="D66" s="58"/>
    </row>
    <row r="67" customFormat="false" ht="15" hidden="false" customHeight="false" outlineLevel="0" collapsed="false">
      <c r="A67" s="58" t="s">
        <v>613</v>
      </c>
      <c r="B67" s="58"/>
      <c r="C67" s="58"/>
      <c r="D67" s="58"/>
    </row>
    <row r="68" customFormat="false" ht="15" hidden="false" customHeight="false" outlineLevel="0" collapsed="false">
      <c r="A68" s="58" t="s">
        <v>614</v>
      </c>
      <c r="B68" s="58"/>
      <c r="C68" s="58"/>
      <c r="D68" s="58"/>
    </row>
    <row r="70" customFormat="false" ht="15" hidden="false" customHeight="false" outlineLevel="0" collapsed="false">
      <c r="A70" s="40" t="s">
        <v>207</v>
      </c>
      <c r="B70" s="41"/>
      <c r="C70" s="41"/>
      <c r="D70" s="41"/>
    </row>
    <row r="71" customFormat="false" ht="15" hidden="false" customHeight="false" outlineLevel="0" collapsed="false">
      <c r="A71" s="16" t="s">
        <v>615</v>
      </c>
      <c r="B71" s="16"/>
      <c r="C71" s="16"/>
      <c r="D71" s="16"/>
    </row>
    <row r="72" customFormat="false" ht="15" hidden="false" customHeight="false" outlineLevel="0" collapsed="false">
      <c r="A72" s="16" t="s">
        <v>616</v>
      </c>
      <c r="B72" s="16"/>
      <c r="C72" s="16"/>
      <c r="D72" s="16"/>
    </row>
    <row r="73" customFormat="false" ht="15" hidden="false" customHeight="false" outlineLevel="0" collapsed="false">
      <c r="A73" s="16" t="s">
        <v>617</v>
      </c>
      <c r="B73" s="16"/>
      <c r="C73" s="16"/>
      <c r="D73" s="16"/>
    </row>
    <row r="74" customFormat="false" ht="15" hidden="false" customHeight="false" outlineLevel="0" collapsed="false">
      <c r="A74" s="16" t="s">
        <v>618</v>
      </c>
      <c r="B74" s="16"/>
      <c r="C74" s="16"/>
      <c r="D74" s="16"/>
    </row>
    <row r="75" customFormat="false" ht="15" hidden="false" customHeight="false" outlineLevel="0" collapsed="false">
      <c r="A75" s="16" t="s">
        <v>619</v>
      </c>
      <c r="B75" s="16"/>
      <c r="C75" s="16"/>
      <c r="D75" s="16"/>
    </row>
    <row r="76" customFormat="false" ht="15" hidden="false" customHeight="false" outlineLevel="0" collapsed="false">
      <c r="A76" s="16" t="s">
        <v>620</v>
      </c>
      <c r="B76" s="16"/>
      <c r="C76" s="16"/>
      <c r="D76" s="16"/>
    </row>
  </sheetData>
  <mergeCells count="17">
    <mergeCell ref="A3:D3"/>
    <mergeCell ref="A57:D57"/>
    <mergeCell ref="A58:D58"/>
    <mergeCell ref="A59:D59"/>
    <mergeCell ref="A60:D60"/>
    <mergeCell ref="A61:D61"/>
    <mergeCell ref="A62:D62"/>
    <mergeCell ref="A65:D65"/>
    <mergeCell ref="A66:D66"/>
    <mergeCell ref="A67:D67"/>
    <mergeCell ref="A68:D68"/>
    <mergeCell ref="A71:D71"/>
    <mergeCell ref="A72:D72"/>
    <mergeCell ref="A73:D73"/>
    <mergeCell ref="A74:D74"/>
    <mergeCell ref="A75:D75"/>
    <mergeCell ref="A76:D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80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1" t="s">
        <v>621</v>
      </c>
    </row>
    <row r="2" customFormat="false" ht="15" hidden="false" customHeight="false" outlineLevel="0" collapsed="false">
      <c r="A2" s="13" t="s">
        <v>114</v>
      </c>
    </row>
    <row r="3" customFormat="false" ht="42" hidden="false" customHeight="true" outlineLevel="0" collapsed="false">
      <c r="A3" s="39" t="s">
        <v>622</v>
      </c>
      <c r="B3" s="39"/>
      <c r="C3" s="39"/>
      <c r="D3" s="39"/>
    </row>
    <row r="4" customFormat="false" ht="15" hidden="false" customHeight="false" outlineLevel="0" collapsed="false">
      <c r="A4" s="2" t="s">
        <v>116</v>
      </c>
    </row>
    <row r="6" customFormat="false" ht="15" hidden="false" customHeight="false" outlineLevel="0" collapsed="false">
      <c r="A6" s="24" t="s">
        <v>117</v>
      </c>
      <c r="B6" s="24" t="s">
        <v>64</v>
      </c>
      <c r="C6" s="24" t="s">
        <v>65</v>
      </c>
      <c r="D6" s="24" t="s">
        <v>66</v>
      </c>
    </row>
    <row r="7" customFormat="false" ht="15" hidden="false" customHeight="false" outlineLevel="0" collapsed="false">
      <c r="A7" s="40" t="s">
        <v>118</v>
      </c>
      <c r="B7" s="41"/>
      <c r="C7" s="41"/>
      <c r="D7" s="41"/>
    </row>
    <row r="8" customFormat="false" ht="32.8" hidden="false" customHeight="false" outlineLevel="0" collapsed="false">
      <c r="A8" s="25" t="s">
        <v>119</v>
      </c>
      <c r="B8" s="42" t="n">
        <v>30</v>
      </c>
      <c r="C8" s="25" t="s">
        <v>96</v>
      </c>
      <c r="D8" s="27" t="s">
        <v>623</v>
      </c>
    </row>
    <row r="9" customFormat="false" ht="22.35" hidden="false" customHeight="false" outlineLevel="0" collapsed="false">
      <c r="A9" s="25" t="s">
        <v>121</v>
      </c>
      <c r="B9" s="43" t="n">
        <v>0.5</v>
      </c>
      <c r="C9" s="25" t="s">
        <v>70</v>
      </c>
      <c r="D9" s="27" t="s">
        <v>624</v>
      </c>
    </row>
    <row r="10" customFormat="false" ht="22.35" hidden="false" customHeight="false" outlineLevel="0" collapsed="false">
      <c r="A10" s="25" t="s">
        <v>625</v>
      </c>
      <c r="B10" s="44" t="n">
        <v>0.4454</v>
      </c>
      <c r="C10" s="25" t="s">
        <v>124</v>
      </c>
      <c r="D10" s="27" t="s">
        <v>626</v>
      </c>
    </row>
    <row r="11" customFormat="false" ht="15" hidden="false" customHeight="false" outlineLevel="0" collapsed="false">
      <c r="A11" s="25" t="s">
        <v>126</v>
      </c>
      <c r="B11" s="11" t="n">
        <f aca="false">Параметры!$B$9</f>
        <v>0.19</v>
      </c>
      <c r="C11" s="25" t="s">
        <v>70</v>
      </c>
      <c r="D11" s="27" t="s">
        <v>127</v>
      </c>
    </row>
    <row r="12" customFormat="false" ht="22.35" hidden="false" customHeight="false" outlineLevel="0" collapsed="false">
      <c r="A12" s="25" t="s">
        <v>128</v>
      </c>
      <c r="B12" s="43" t="n">
        <v>0.01</v>
      </c>
      <c r="C12" s="25" t="s">
        <v>70</v>
      </c>
      <c r="D12" s="27" t="s">
        <v>627</v>
      </c>
    </row>
    <row r="13" customFormat="false" ht="15" hidden="false" customHeight="false" outlineLevel="0" collapsed="false">
      <c r="A13" s="25" t="s">
        <v>130</v>
      </c>
      <c r="B13" s="45" t="n">
        <v>0.06</v>
      </c>
      <c r="C13" s="25" t="s">
        <v>70</v>
      </c>
      <c r="D13" s="27" t="s">
        <v>628</v>
      </c>
    </row>
    <row r="14" customFormat="false" ht="15" hidden="false" customHeight="false" outlineLevel="0" collapsed="false">
      <c r="A14" s="25" t="s">
        <v>629</v>
      </c>
      <c r="B14" s="60" t="n">
        <v>223.4</v>
      </c>
      <c r="C14" s="25" t="s">
        <v>96</v>
      </c>
      <c r="D14" s="27" t="s">
        <v>630</v>
      </c>
    </row>
    <row r="15" customFormat="false" ht="15" hidden="false" customHeight="false" outlineLevel="0" collapsed="false">
      <c r="A15" s="25" t="s">
        <v>138</v>
      </c>
      <c r="B15" s="11" t="n">
        <f aca="false">Параметры!$B$15</f>
        <v>0.5</v>
      </c>
      <c r="C15" s="25" t="s">
        <v>70</v>
      </c>
      <c r="D15" s="27" t="s">
        <v>132</v>
      </c>
    </row>
    <row r="16" customFormat="false" ht="15" hidden="false" customHeight="false" outlineLevel="0" collapsed="false">
      <c r="A16" s="25" t="s">
        <v>92</v>
      </c>
      <c r="B16" s="48" t="n">
        <f aca="false">Параметры!$B$16</f>
        <v>5</v>
      </c>
      <c r="C16" s="25" t="s">
        <v>93</v>
      </c>
      <c r="D16" s="27" t="s">
        <v>132</v>
      </c>
    </row>
    <row r="17" customFormat="false" ht="15" hidden="false" customHeight="false" outlineLevel="0" collapsed="false">
      <c r="A17" s="25" t="s">
        <v>139</v>
      </c>
      <c r="B17" s="49" t="n">
        <v>4.5</v>
      </c>
      <c r="C17" s="25" t="s">
        <v>101</v>
      </c>
      <c r="D17" s="27" t="s">
        <v>631</v>
      </c>
    </row>
    <row r="18" customFormat="false" ht="15" hidden="false" customHeight="false" outlineLevel="0" collapsed="false">
      <c r="A18" s="25" t="s">
        <v>141</v>
      </c>
      <c r="B18" s="43" t="n">
        <v>0.06</v>
      </c>
      <c r="C18" s="25" t="s">
        <v>70</v>
      </c>
      <c r="D18" s="27" t="s">
        <v>142</v>
      </c>
    </row>
    <row r="20" customFormat="false" ht="15" hidden="false" customHeight="false" outlineLevel="0" collapsed="false">
      <c r="A20" s="40" t="s">
        <v>143</v>
      </c>
      <c r="B20" s="41"/>
      <c r="C20" s="41"/>
      <c r="D20" s="41"/>
    </row>
    <row r="21" customFormat="false" ht="15" hidden="false" customHeight="false" outlineLevel="0" collapsed="false">
      <c r="A21" s="25" t="s">
        <v>632</v>
      </c>
      <c r="B21" s="12" t="n">
        <f aca="false">$B$8*$B$9/$B$10</f>
        <v>33.6775931746745</v>
      </c>
      <c r="C21" s="25" t="s">
        <v>145</v>
      </c>
      <c r="D21" s="27"/>
    </row>
    <row r="22" customFormat="false" ht="15" hidden="false" customHeight="false" outlineLevel="0" collapsed="false">
      <c r="A22" s="25" t="s">
        <v>146</v>
      </c>
      <c r="B22" s="8" t="n">
        <f aca="false">$B$11+$B$12</f>
        <v>0.2</v>
      </c>
      <c r="C22" s="25" t="s">
        <v>70</v>
      </c>
      <c r="D22" s="27"/>
    </row>
    <row r="23" customFormat="false" ht="15" hidden="false" customHeight="false" outlineLevel="0" collapsed="false">
      <c r="A23" s="25" t="s">
        <v>147</v>
      </c>
      <c r="B23" s="8" t="n">
        <f aca="false">$B$22-$B$13</f>
        <v>0.14</v>
      </c>
      <c r="C23" s="25" t="s">
        <v>70</v>
      </c>
      <c r="D23" s="27"/>
    </row>
    <row r="24" customFormat="false" ht="15" hidden="false" customHeight="false" outlineLevel="0" collapsed="false">
      <c r="A24" s="25" t="s">
        <v>155</v>
      </c>
      <c r="B24" s="12" t="n">
        <f aca="false">IF($B$23&gt;0,$B$21/$B$23,0)</f>
        <v>240.55423696196</v>
      </c>
      <c r="C24" s="25" t="s">
        <v>85</v>
      </c>
      <c r="D24" s="27"/>
    </row>
    <row r="25" customFormat="false" ht="15" hidden="false" customHeight="false" outlineLevel="0" collapsed="false">
      <c r="A25" s="25" t="s">
        <v>156</v>
      </c>
      <c r="B25" s="12" t="n">
        <f aca="false">$B$17*$B$8/$B$10</f>
        <v>303.09833857207</v>
      </c>
      <c r="C25" s="25" t="s">
        <v>85</v>
      </c>
      <c r="D25" s="27" t="s">
        <v>252</v>
      </c>
    </row>
    <row r="26" customFormat="false" ht="15" hidden="false" customHeight="false" outlineLevel="0" collapsed="false">
      <c r="A26" s="25" t="s">
        <v>158</v>
      </c>
      <c r="B26" s="12" t="n">
        <f aca="false">$B$15*($B$25-$B$24)*((1+$B$18)/(1+$B$11))^$B$16</f>
        <v>17.5368215342753</v>
      </c>
      <c r="C26" s="25" t="s">
        <v>85</v>
      </c>
      <c r="D26" s="27" t="s">
        <v>159</v>
      </c>
    </row>
    <row r="27" customFormat="false" ht="15" hidden="false" customHeight="false" outlineLevel="0" collapsed="false">
      <c r="A27" s="25" t="s">
        <v>160</v>
      </c>
      <c r="B27" s="12" t="n">
        <f aca="false">$B$24+$B$26</f>
        <v>258.091058496236</v>
      </c>
      <c r="C27" s="25" t="s">
        <v>85</v>
      </c>
      <c r="D27" s="27"/>
    </row>
    <row r="29" customFormat="false" ht="15" hidden="false" customHeight="false" outlineLevel="0" collapsed="false">
      <c r="A29" s="40" t="s">
        <v>161</v>
      </c>
      <c r="B29" s="41"/>
      <c r="C29" s="41"/>
      <c r="D29" s="41"/>
    </row>
    <row r="30" customFormat="false" ht="15" hidden="false" customHeight="false" outlineLevel="0" collapsed="false">
      <c r="A30" s="13" t="s">
        <v>162</v>
      </c>
      <c r="B30" s="51" t="n">
        <f aca="false">$B$27</f>
        <v>258.091058496236</v>
      </c>
      <c r="C30" s="25" t="s">
        <v>85</v>
      </c>
      <c r="D30" s="2" t="s">
        <v>163</v>
      </c>
    </row>
    <row r="31" customFormat="false" ht="15" hidden="false" customHeight="false" outlineLevel="0" collapsed="false">
      <c r="A31" s="25" t="s">
        <v>164</v>
      </c>
      <c r="B31" s="7" t="n">
        <f aca="false">Сводка!$D$13</f>
        <v>257.06</v>
      </c>
      <c r="C31" s="25" t="s">
        <v>85</v>
      </c>
      <c r="D31" s="2" t="s">
        <v>165</v>
      </c>
    </row>
    <row r="32" customFormat="false" ht="15" hidden="false" customHeight="false" outlineLevel="0" collapsed="false">
      <c r="A32" s="25" t="s">
        <v>166</v>
      </c>
      <c r="B32" s="52" t="n">
        <f aca="false">$B$30*(1-Параметры!$B$10)</f>
        <v>198.730115042102</v>
      </c>
      <c r="C32" s="25" t="s">
        <v>85</v>
      </c>
      <c r="D32" s="2" t="s">
        <v>167</v>
      </c>
    </row>
    <row r="33" customFormat="false" ht="15" hidden="false" customHeight="false" outlineLevel="0" collapsed="false">
      <c r="A33" s="25" t="s">
        <v>168</v>
      </c>
      <c r="B33" s="52" t="n">
        <f aca="false">$B$30*(1+Параметры!$B$11)</f>
        <v>304.547449025558</v>
      </c>
      <c r="C33" s="25" t="s">
        <v>85</v>
      </c>
      <c r="D33" s="2" t="s">
        <v>169</v>
      </c>
    </row>
    <row r="34" customFormat="false" ht="15" hidden="false" customHeight="false" outlineLevel="0" collapsed="false">
      <c r="A34" s="25" t="s">
        <v>170</v>
      </c>
      <c r="B34" s="7" t="n">
        <f aca="false">$B$33*(1-Параметры!$B$12)</f>
        <v>289.32007657428</v>
      </c>
      <c r="C34" s="25" t="s">
        <v>85</v>
      </c>
      <c r="D34" s="2" t="s">
        <v>171</v>
      </c>
    </row>
    <row r="35" customFormat="false" ht="15" hidden="false" customHeight="false" outlineLevel="0" collapsed="false">
      <c r="A35" s="25" t="s">
        <v>172</v>
      </c>
      <c r="B35" s="8" t="n">
        <f aca="false">IF($B$31&gt;0,$B$30/$B$31-1,0)</f>
        <v>0.00401096435165216</v>
      </c>
      <c r="C35" s="25" t="s">
        <v>70</v>
      </c>
      <c r="D35" s="2"/>
    </row>
    <row r="36" customFormat="false" ht="15" hidden="false" customHeight="false" outlineLevel="0" collapsed="false">
      <c r="A36" s="25" t="s">
        <v>173</v>
      </c>
      <c r="B36" s="8" t="n">
        <f aca="false">IF($B$31&gt;0,$B$33/$B$31-1,0)</f>
        <v>0.184732937934949</v>
      </c>
      <c r="C36" s="25" t="s">
        <v>70</v>
      </c>
      <c r="D36" s="2"/>
    </row>
    <row r="37" customFormat="false" ht="15" hidden="false" customHeight="false" outlineLevel="0" collapsed="false">
      <c r="A37" s="13" t="s">
        <v>11</v>
      </c>
      <c r="B37" s="4" t="str">
        <f aca="false">IF($B$31&lt;=$B$32,"ЗОНА ПОКУПКИ",IF($B$31&gt;=$B$33,"ЦЕНА ПРОДАЖИ",IF($B$31&gt;=$B$34,"ПРИБЛИЖАЕТСЯ К ПРОДАЖЕ","ДЕРЖАТЬ")))</f>
        <v>ДЕРЖАТЬ</v>
      </c>
      <c r="C37" s="25"/>
      <c r="D37" s="2" t="s">
        <v>174</v>
      </c>
    </row>
    <row r="39" customFormat="false" ht="15" hidden="false" customHeight="false" outlineLevel="0" collapsed="false">
      <c r="A39" s="40" t="s">
        <v>175</v>
      </c>
      <c r="B39" s="41"/>
      <c r="C39" s="41"/>
      <c r="D39" s="41"/>
    </row>
    <row r="40" customFormat="false" ht="15" hidden="false" customHeight="false" outlineLevel="0" collapsed="false">
      <c r="A40" s="25" t="s">
        <v>181</v>
      </c>
      <c r="B40" s="12" t="n">
        <f aca="false">$B$8/$B$10</f>
        <v>67.3551863493489</v>
      </c>
      <c r="C40" s="25" t="s">
        <v>85</v>
      </c>
      <c r="D40" s="27"/>
    </row>
    <row r="41" customFormat="false" ht="15" hidden="false" customHeight="false" outlineLevel="0" collapsed="false">
      <c r="A41" s="25" t="s">
        <v>633</v>
      </c>
      <c r="B41" s="53" t="n">
        <f aca="false">IF($B$40&gt;0,$B$30/$B$40,0)</f>
        <v>3.83179191514078</v>
      </c>
      <c r="C41" s="25" t="s">
        <v>101</v>
      </c>
      <c r="D41" s="27" t="s">
        <v>634</v>
      </c>
    </row>
    <row r="42" customFormat="false" ht="15" hidden="false" customHeight="false" outlineLevel="0" collapsed="false">
      <c r="A42" s="25" t="s">
        <v>635</v>
      </c>
      <c r="B42" s="8" t="n">
        <f aca="false">IF($B$14&gt;0,$B$8/$B$14,0)</f>
        <v>0.134288272157565</v>
      </c>
      <c r="C42" s="25" t="s">
        <v>70</v>
      </c>
      <c r="D42" s="27" t="s">
        <v>636</v>
      </c>
    </row>
    <row r="43" customFormat="false" ht="15" hidden="false" customHeight="false" outlineLevel="0" collapsed="false">
      <c r="A43" s="25" t="s">
        <v>185</v>
      </c>
      <c r="B43" s="8" t="n">
        <f aca="false">IF($B$31&gt;0,$B$21/$B$31,0)</f>
        <v>0.131010632438631</v>
      </c>
      <c r="C43" s="25" t="s">
        <v>70</v>
      </c>
      <c r="D43" s="27"/>
    </row>
    <row r="44" customFormat="false" ht="15" hidden="false" customHeight="false" outlineLevel="0" collapsed="false">
      <c r="A44" s="25" t="s">
        <v>188</v>
      </c>
      <c r="B44" s="8" t="n">
        <f aca="false">IF($B$31&gt;0,$B$21/$B$31+$B$13,0)</f>
        <v>0.191010632438631</v>
      </c>
      <c r="C44" s="25" t="s">
        <v>70</v>
      </c>
      <c r="D44" s="27" t="s">
        <v>189</v>
      </c>
    </row>
    <row r="45" customFormat="false" ht="15" hidden="false" customHeight="false" outlineLevel="0" collapsed="false">
      <c r="A45" s="25" t="s">
        <v>637</v>
      </c>
      <c r="B45" s="12" t="n">
        <f aca="false">280</f>
        <v>280</v>
      </c>
      <c r="C45" s="25" t="s">
        <v>85</v>
      </c>
      <c r="D45" s="27" t="s">
        <v>638</v>
      </c>
    </row>
    <row r="47" customFormat="false" ht="15" hidden="false" customHeight="false" outlineLevel="0" collapsed="false">
      <c r="A47" s="40" t="s">
        <v>190</v>
      </c>
      <c r="B47" s="41"/>
      <c r="C47" s="41"/>
      <c r="D47" s="41"/>
      <c r="E47" s="41"/>
      <c r="F47" s="41"/>
      <c r="G47" s="41"/>
    </row>
    <row r="48" customFormat="false" ht="15" hidden="false" customHeight="false" outlineLevel="0" collapsed="false">
      <c r="A48" s="13" t="s">
        <v>191</v>
      </c>
      <c r="B48" s="54" t="n">
        <v>26</v>
      </c>
      <c r="C48" s="54" t="n">
        <v>28</v>
      </c>
      <c r="D48" s="54" t="n">
        <v>30</v>
      </c>
      <c r="E48" s="54" t="n">
        <v>32</v>
      </c>
      <c r="F48" s="54" t="n">
        <v>34</v>
      </c>
    </row>
    <row r="49" customFormat="false" ht="15" hidden="false" customHeight="false" outlineLevel="0" collapsed="false">
      <c r="A49" s="55" t="n">
        <v>0.04</v>
      </c>
      <c r="B49" s="10" t="n">
        <f aca="false">(B$48*$B$9/$B$10/($B$11+$B$12-$A49))+$B$15*(($B$17*B$48/$B$10)-(B$48*$B$9/$B$10/($B$11+$B$12-$A49)))*((1+$B$18)/(1+$B$11))^$B$16</f>
        <v>204.925883998473</v>
      </c>
      <c r="C49" s="10" t="n">
        <f aca="false">(C$48*$B$9/$B$10/($B$11+$B$12-$A49))+$B$15*(($B$17*C$48/$B$10)-(C$48*$B$9/$B$10/($B$11+$B$12-$A49)))*((1+$B$18)/(1+$B$11))^$B$16</f>
        <v>220.689413536817</v>
      </c>
      <c r="D49" s="10" t="n">
        <f aca="false">(D$48*$B$9/$B$10/($B$11+$B$12-$A49))+$B$15*(($B$17*D$48/$B$10)-(D$48*$B$9/$B$10/($B$11+$B$12-$A49)))*((1+$B$18)/(1+$B$11))^$B$16</f>
        <v>236.452943075161</v>
      </c>
      <c r="E49" s="10" t="n">
        <f aca="false">(E$48*$B$9/$B$10/($B$11+$B$12-$A49))+$B$15*(($B$17*E$48/$B$10)-(E$48*$B$9/$B$10/($B$11+$B$12-$A49)))*((1+$B$18)/(1+$B$11))^$B$16</f>
        <v>252.216472613506</v>
      </c>
      <c r="F49" s="10" t="n">
        <f aca="false">(F$48*$B$9/$B$10/($B$11+$B$12-$A49))+$B$15*(($B$17*F$48/$B$10)-(F$48*$B$9/$B$10/($B$11+$B$12-$A49)))*((1+$B$18)/(1+$B$11))^$B$16</f>
        <v>267.98000215185</v>
      </c>
    </row>
    <row r="50" customFormat="false" ht="15" hidden="false" customHeight="false" outlineLevel="0" collapsed="false">
      <c r="A50" s="55" t="n">
        <v>0.05</v>
      </c>
      <c r="B50" s="10" t="n">
        <f aca="false">(B$48*$B$9/$B$10/($B$11+$B$12-$A50))+$B$15*(($B$17*B$48/$B$10)-(B$48*$B$9/$B$10/($B$11+$B$12-$A50)))*((1+$B$18)/(1+$B$11))^$B$16</f>
        <v>213.677299568774</v>
      </c>
      <c r="C50" s="10" t="n">
        <f aca="false">(C$48*$B$9/$B$10/($B$11+$B$12-$A50))+$B$15*(($B$17*C$48/$B$10)-(C$48*$B$9/$B$10/($B$11+$B$12-$A50)))*((1+$B$18)/(1+$B$11))^$B$16</f>
        <v>230.114014920219</v>
      </c>
      <c r="D50" s="10" t="n">
        <f aca="false">(D$48*$B$9/$B$10/($B$11+$B$12-$A50))+$B$15*(($B$17*D$48/$B$10)-(D$48*$B$9/$B$10/($B$11+$B$12-$A50)))*((1+$B$18)/(1+$B$11))^$B$16</f>
        <v>246.550730271663</v>
      </c>
      <c r="E50" s="10" t="n">
        <f aca="false">(E$48*$B$9/$B$10/($B$11+$B$12-$A50))+$B$15*(($B$17*E$48/$B$10)-(E$48*$B$9/$B$10/($B$11+$B$12-$A50)))*((1+$B$18)/(1+$B$11))^$B$16</f>
        <v>262.987445623107</v>
      </c>
      <c r="F50" s="10" t="n">
        <f aca="false">(F$48*$B$9/$B$10/($B$11+$B$12-$A50))+$B$15*(($B$17*F$48/$B$10)-(F$48*$B$9/$B$10/($B$11+$B$12-$A50)))*((1+$B$18)/(1+$B$11))^$B$16</f>
        <v>279.424160974551</v>
      </c>
    </row>
    <row r="51" customFormat="false" ht="15" hidden="false" customHeight="false" outlineLevel="0" collapsed="false">
      <c r="A51" s="55" t="n">
        <v>0.06</v>
      </c>
      <c r="B51" s="10" t="n">
        <f aca="false">(B$48*$B$9/$B$10/($B$11+$B$12-$A51))+$B$15*(($B$17*B$48/$B$10)-(B$48*$B$9/$B$10/($B$11+$B$12-$A51)))*((1+$B$18)/(1+$B$11))^$B$16</f>
        <v>223.678917363404</v>
      </c>
      <c r="C51" s="10" t="n">
        <f aca="false">(C$48*$B$9/$B$10/($B$11+$B$12-$A51))+$B$15*(($B$17*C$48/$B$10)-(C$48*$B$9/$B$10/($B$11+$B$12-$A51)))*((1+$B$18)/(1+$B$11))^$B$16</f>
        <v>240.88498792982</v>
      </c>
      <c r="D51" s="56" t="n">
        <f aca="false">(D$48*$B$9/$B$10/($B$11+$B$12-$A51))+$B$15*(($B$17*D$48/$B$10)-(D$48*$B$9/$B$10/($B$11+$B$12-$A51)))*((1+$B$18)/(1+$B$11))^$B$16</f>
        <v>258.091058496236</v>
      </c>
      <c r="E51" s="10" t="n">
        <f aca="false">(E$48*$B$9/$B$10/($B$11+$B$12-$A51))+$B$15*(($B$17*E$48/$B$10)-(E$48*$B$9/$B$10/($B$11+$B$12-$A51)))*((1+$B$18)/(1+$B$11))^$B$16</f>
        <v>275.297129062651</v>
      </c>
      <c r="F51" s="10" t="n">
        <f aca="false">(F$48*$B$9/$B$10/($B$11+$B$12-$A51))+$B$15*(($B$17*F$48/$B$10)-(F$48*$B$9/$B$10/($B$11+$B$12-$A51)))*((1+$B$18)/(1+$B$11))^$B$16</f>
        <v>292.503199629067</v>
      </c>
    </row>
    <row r="52" customFormat="false" ht="15" hidden="false" customHeight="false" outlineLevel="0" collapsed="false">
      <c r="A52" s="55" t="n">
        <v>0.07</v>
      </c>
      <c r="B52" s="10" t="n">
        <f aca="false">(B$48*$B$9/$B$10/($B$11+$B$12-$A52))+$B$15*(($B$17*B$48/$B$10)-(B$48*$B$9/$B$10/($B$11+$B$12-$A52)))*((1+$B$18)/(1+$B$11))^$B$16</f>
        <v>235.219245587977</v>
      </c>
      <c r="C52" s="10" t="n">
        <f aca="false">(C$48*$B$9/$B$10/($B$11+$B$12-$A52))+$B$15*(($B$17*C$48/$B$10)-(C$48*$B$9/$B$10/($B$11+$B$12-$A52)))*((1+$B$18)/(1+$B$11))^$B$16</f>
        <v>253.313033710129</v>
      </c>
      <c r="D52" s="10" t="n">
        <f aca="false">(D$48*$B$9/$B$10/($B$11+$B$12-$A52))+$B$15*(($B$17*D$48/$B$10)-(D$48*$B$9/$B$10/($B$11+$B$12-$A52)))*((1+$B$18)/(1+$B$11))^$B$16</f>
        <v>271.406821832281</v>
      </c>
      <c r="E52" s="10" t="n">
        <f aca="false">(E$48*$B$9/$B$10/($B$11+$B$12-$A52))+$B$15*(($B$17*E$48/$B$10)-(E$48*$B$9/$B$10/($B$11+$B$12-$A52)))*((1+$B$18)/(1+$B$11))^$B$16</f>
        <v>289.500609954433</v>
      </c>
      <c r="F52" s="10" t="n">
        <f aca="false">(F$48*$B$9/$B$10/($B$11+$B$12-$A52))+$B$15*(($B$17*F$48/$B$10)-(F$48*$B$9/$B$10/($B$11+$B$12-$A52)))*((1+$B$18)/(1+$B$11))^$B$16</f>
        <v>307.594398076586</v>
      </c>
    </row>
    <row r="53" customFormat="false" ht="15" hidden="false" customHeight="false" outlineLevel="0" collapsed="false">
      <c r="A53" s="55" t="n">
        <v>0.08</v>
      </c>
      <c r="B53" s="10" t="n">
        <f aca="false">(B$48*$B$9/$B$10/($B$11+$B$12-$A53))+$B$15*(($B$17*B$48/$B$10)-(B$48*$B$9/$B$10/($B$11+$B$12-$A53)))*((1+$B$18)/(1+$B$11))^$B$16</f>
        <v>248.682961849979</v>
      </c>
      <c r="C53" s="10" t="n">
        <f aca="false">(C$48*$B$9/$B$10/($B$11+$B$12-$A53))+$B$15*(($B$17*C$48/$B$10)-(C$48*$B$9/$B$10/($B$11+$B$12-$A53)))*((1+$B$18)/(1+$B$11))^$B$16</f>
        <v>267.812420453823</v>
      </c>
      <c r="D53" s="10" t="n">
        <f aca="false">(D$48*$B$9/$B$10/($B$11+$B$12-$A53))+$B$15*(($B$17*D$48/$B$10)-(D$48*$B$9/$B$10/($B$11+$B$12-$A53)))*((1+$B$18)/(1+$B$11))^$B$16</f>
        <v>286.941879057668</v>
      </c>
      <c r="E53" s="10" t="n">
        <f aca="false">(E$48*$B$9/$B$10/($B$11+$B$12-$A53))+$B$15*(($B$17*E$48/$B$10)-(E$48*$B$9/$B$10/($B$11+$B$12-$A53)))*((1+$B$18)/(1+$B$11))^$B$16</f>
        <v>306.071337661513</v>
      </c>
      <c r="F53" s="10" t="n">
        <f aca="false">(F$48*$B$9/$B$10/($B$11+$B$12-$A53))+$B$15*(($B$17*F$48/$B$10)-(F$48*$B$9/$B$10/($B$11+$B$12-$A53)))*((1+$B$18)/(1+$B$11))^$B$16</f>
        <v>325.200796265357</v>
      </c>
    </row>
    <row r="54" customFormat="false" ht="15" hidden="false" customHeight="false" outlineLevel="0" collapsed="false">
      <c r="A54" s="2" t="s">
        <v>192</v>
      </c>
    </row>
    <row r="56" customFormat="false" ht="15" hidden="false" customHeight="false" outlineLevel="0" collapsed="false">
      <c r="A56" s="40" t="s">
        <v>195</v>
      </c>
      <c r="B56" s="41"/>
      <c r="C56" s="41"/>
      <c r="D56" s="41"/>
    </row>
    <row r="57" customFormat="false" ht="43.5" hidden="false" customHeight="true" outlineLevel="0" collapsed="false">
      <c r="A57" s="57" t="s">
        <v>639</v>
      </c>
      <c r="B57" s="57"/>
      <c r="C57" s="57"/>
      <c r="D57" s="57"/>
    </row>
    <row r="58" customFormat="false" ht="15" hidden="false" customHeight="false" outlineLevel="0" collapsed="false">
      <c r="A58" s="58" t="s">
        <v>640</v>
      </c>
      <c r="B58" s="58"/>
      <c r="C58" s="58"/>
      <c r="D58" s="58"/>
    </row>
    <row r="59" customFormat="false" ht="15" hidden="false" customHeight="false" outlineLevel="0" collapsed="false">
      <c r="A59" s="58" t="s">
        <v>641</v>
      </c>
      <c r="B59" s="58"/>
      <c r="C59" s="58"/>
      <c r="D59" s="58"/>
    </row>
    <row r="60" customFormat="false" ht="15" hidden="false" customHeight="false" outlineLevel="0" collapsed="false">
      <c r="A60" s="58" t="s">
        <v>642</v>
      </c>
      <c r="B60" s="58"/>
      <c r="C60" s="58"/>
      <c r="D60" s="58"/>
    </row>
    <row r="61" customFormat="false" ht="15" hidden="false" customHeight="false" outlineLevel="0" collapsed="false">
      <c r="A61" s="58" t="s">
        <v>643</v>
      </c>
      <c r="B61" s="58"/>
      <c r="C61" s="58"/>
      <c r="D61" s="58"/>
    </row>
    <row r="63" customFormat="false" ht="15" hidden="false" customHeight="false" outlineLevel="0" collapsed="false">
      <c r="A63" s="40" t="s">
        <v>201</v>
      </c>
      <c r="B63" s="41"/>
      <c r="C63" s="41"/>
      <c r="D63" s="41"/>
    </row>
    <row r="64" customFormat="false" ht="15" hidden="false" customHeight="false" outlineLevel="0" collapsed="false">
      <c r="A64" s="58" t="s">
        <v>644</v>
      </c>
      <c r="B64" s="58"/>
      <c r="C64" s="58"/>
      <c r="D64" s="58"/>
    </row>
    <row r="65" customFormat="false" ht="15" hidden="false" customHeight="false" outlineLevel="0" collapsed="false">
      <c r="A65" s="58" t="s">
        <v>645</v>
      </c>
      <c r="B65" s="58"/>
      <c r="C65" s="58"/>
      <c r="D65" s="58"/>
    </row>
    <row r="66" customFormat="false" ht="15" hidden="false" customHeight="false" outlineLevel="0" collapsed="false">
      <c r="A66" s="58" t="s">
        <v>646</v>
      </c>
      <c r="B66" s="58"/>
      <c r="C66" s="58"/>
      <c r="D66" s="58"/>
    </row>
    <row r="67" customFormat="false" ht="15" hidden="false" customHeight="false" outlineLevel="0" collapsed="false">
      <c r="A67" s="58" t="s">
        <v>647</v>
      </c>
      <c r="B67" s="58"/>
      <c r="C67" s="58"/>
      <c r="D67" s="58"/>
    </row>
    <row r="69" customFormat="false" ht="15" hidden="false" customHeight="false" outlineLevel="0" collapsed="false">
      <c r="A69" s="40" t="s">
        <v>207</v>
      </c>
      <c r="B69" s="41"/>
      <c r="C69" s="41"/>
      <c r="D69" s="41"/>
    </row>
    <row r="70" customFormat="false" ht="15" hidden="false" customHeight="false" outlineLevel="0" collapsed="false">
      <c r="A70" s="16" t="s">
        <v>648</v>
      </c>
      <c r="B70" s="16"/>
      <c r="C70" s="16"/>
      <c r="D70" s="16"/>
    </row>
    <row r="71" customFormat="false" ht="15" hidden="false" customHeight="false" outlineLevel="0" collapsed="false">
      <c r="A71" s="16" t="s">
        <v>649</v>
      </c>
      <c r="B71" s="16"/>
      <c r="C71" s="16"/>
      <c r="D71" s="16"/>
    </row>
    <row r="72" customFormat="false" ht="15" hidden="false" customHeight="false" outlineLevel="0" collapsed="false">
      <c r="A72" s="16" t="s">
        <v>650</v>
      </c>
      <c r="B72" s="16"/>
      <c r="C72" s="16"/>
      <c r="D72" s="16"/>
    </row>
    <row r="73" customFormat="false" ht="15" hidden="false" customHeight="false" outlineLevel="0" collapsed="false">
      <c r="A73" s="16" t="s">
        <v>651</v>
      </c>
      <c r="B73" s="16"/>
      <c r="C73" s="16"/>
      <c r="D73" s="16"/>
    </row>
  </sheetData>
  <mergeCells count="14">
    <mergeCell ref="A3:D3"/>
    <mergeCell ref="A57:D57"/>
    <mergeCell ref="A58:D58"/>
    <mergeCell ref="A59:D59"/>
    <mergeCell ref="A60:D60"/>
    <mergeCell ref="A61:D61"/>
    <mergeCell ref="A64:D64"/>
    <mergeCell ref="A65:D65"/>
    <mergeCell ref="A66:D66"/>
    <mergeCell ref="A67:D67"/>
    <mergeCell ref="A70:D70"/>
    <mergeCell ref="A71:D71"/>
    <mergeCell ref="A72:D72"/>
    <mergeCell ref="A73:D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6" min="4" style="0" width="14"/>
    <col collapsed="false" customWidth="true" hidden="false" outlineLevel="0" max="7" min="7" style="0" width="50"/>
    <col collapsed="false" customWidth="true" hidden="false" outlineLevel="0" max="8" min="8" style="0" width="40"/>
    <col collapsed="false" customWidth="true" hidden="false" outlineLevel="0" max="9" min="9" style="0" width="8"/>
  </cols>
  <sheetData>
    <row r="1" customFormat="false" ht="17.35" hidden="false" customHeight="false" outlineLevel="0" collapsed="false">
      <c r="A1" s="1" t="s">
        <v>652</v>
      </c>
    </row>
    <row r="2" customFormat="false" ht="15" hidden="false" customHeight="false" outlineLevel="0" collapsed="false">
      <c r="A2" s="2" t="s">
        <v>653</v>
      </c>
    </row>
    <row r="4" customFormat="false" ht="15" hidden="false" customHeight="false" outlineLevel="0" collapsed="false">
      <c r="A4" s="24" t="s">
        <v>654</v>
      </c>
      <c r="B4" s="24" t="s">
        <v>1</v>
      </c>
      <c r="C4" s="24" t="s">
        <v>655</v>
      </c>
      <c r="D4" s="24" t="s">
        <v>656</v>
      </c>
      <c r="E4" s="24" t="s">
        <v>657</v>
      </c>
      <c r="F4" s="24" t="s">
        <v>658</v>
      </c>
      <c r="G4" s="24" t="s">
        <v>659</v>
      </c>
      <c r="H4" s="24" t="s">
        <v>660</v>
      </c>
      <c r="I4" s="24" t="s">
        <v>661</v>
      </c>
    </row>
    <row r="5" customFormat="false" ht="15" hidden="false" customHeight="false" outlineLevel="0" collapsed="false">
      <c r="A5" s="66" t="s">
        <v>662</v>
      </c>
      <c r="B5" s="66" t="s">
        <v>17</v>
      </c>
      <c r="C5" s="66" t="s">
        <v>663</v>
      </c>
      <c r="D5" s="66"/>
      <c r="E5" s="66"/>
      <c r="F5" s="67" t="n">
        <v>392.42</v>
      </c>
      <c r="G5" s="66" t="s">
        <v>664</v>
      </c>
      <c r="H5" s="66"/>
      <c r="I5" s="66" t="s">
        <v>665</v>
      </c>
    </row>
    <row r="6" customFormat="false" ht="15" hidden="false" customHeight="false" outlineLevel="0" collapsed="false">
      <c r="A6" s="66" t="s">
        <v>662</v>
      </c>
      <c r="B6" s="66" t="s">
        <v>20</v>
      </c>
      <c r="C6" s="66" t="s">
        <v>663</v>
      </c>
      <c r="D6" s="66"/>
      <c r="E6" s="66"/>
      <c r="F6" s="67" t="n">
        <v>1228.95</v>
      </c>
      <c r="G6" s="66" t="s">
        <v>666</v>
      </c>
      <c r="H6" s="66"/>
      <c r="I6" s="66" t="s">
        <v>665</v>
      </c>
    </row>
    <row r="7" customFormat="false" ht="15" hidden="false" customHeight="false" outlineLevel="0" collapsed="false">
      <c r="A7" s="66" t="s">
        <v>662</v>
      </c>
      <c r="B7" s="66" t="s">
        <v>23</v>
      </c>
      <c r="C7" s="66" t="s">
        <v>663</v>
      </c>
      <c r="D7" s="66"/>
      <c r="E7" s="66"/>
      <c r="F7" s="67" t="n">
        <v>1381.75</v>
      </c>
      <c r="G7" s="66" t="s">
        <v>667</v>
      </c>
      <c r="H7" s="66"/>
      <c r="I7" s="66" t="s">
        <v>665</v>
      </c>
    </row>
    <row r="8" customFormat="false" ht="15" hidden="false" customHeight="false" outlineLevel="0" collapsed="false">
      <c r="A8" s="66" t="s">
        <v>662</v>
      </c>
      <c r="B8" s="66" t="s">
        <v>26</v>
      </c>
      <c r="C8" s="66" t="s">
        <v>663</v>
      </c>
      <c r="D8" s="66"/>
      <c r="E8" s="66"/>
      <c r="F8" s="67" t="n">
        <v>608.19</v>
      </c>
      <c r="G8" s="66" t="s">
        <v>668</v>
      </c>
      <c r="H8" s="66"/>
      <c r="I8" s="66" t="s">
        <v>665</v>
      </c>
    </row>
    <row r="9" customFormat="false" ht="15" hidden="false" customHeight="false" outlineLevel="0" collapsed="false">
      <c r="A9" s="66" t="s">
        <v>662</v>
      </c>
      <c r="B9" s="66" t="s">
        <v>29</v>
      </c>
      <c r="C9" s="66" t="s">
        <v>663</v>
      </c>
      <c r="D9" s="66"/>
      <c r="E9" s="66"/>
      <c r="F9" s="67" t="n">
        <v>4646.97</v>
      </c>
      <c r="G9" s="66" t="s">
        <v>668</v>
      </c>
      <c r="H9" s="66"/>
      <c r="I9" s="66" t="s">
        <v>665</v>
      </c>
    </row>
    <row r="10" customFormat="false" ht="15" hidden="false" customHeight="false" outlineLevel="0" collapsed="false">
      <c r="A10" s="66" t="s">
        <v>662</v>
      </c>
      <c r="B10" s="66" t="s">
        <v>31</v>
      </c>
      <c r="C10" s="66" t="s">
        <v>663</v>
      </c>
      <c r="D10" s="66"/>
      <c r="E10" s="66"/>
      <c r="F10" s="67" t="n">
        <v>206.05</v>
      </c>
      <c r="G10" s="66" t="s">
        <v>669</v>
      </c>
      <c r="H10" s="66"/>
      <c r="I10" s="66" t="s">
        <v>665</v>
      </c>
    </row>
    <row r="11" customFormat="false" ht="15" hidden="false" customHeight="false" outlineLevel="0" collapsed="false">
      <c r="A11" s="66" t="s">
        <v>662</v>
      </c>
      <c r="B11" s="66" t="s">
        <v>34</v>
      </c>
      <c r="C11" s="66" t="s">
        <v>663</v>
      </c>
      <c r="D11" s="66"/>
      <c r="E11" s="66"/>
      <c r="F11" s="67" t="n">
        <v>111.79</v>
      </c>
      <c r="G11" s="66" t="s">
        <v>670</v>
      </c>
      <c r="H11" s="66"/>
      <c r="I11" s="66" t="s">
        <v>665</v>
      </c>
    </row>
    <row r="12" customFormat="false" ht="15" hidden="false" customHeight="false" outlineLevel="0" collapsed="false">
      <c r="A12" s="66" t="s">
        <v>662</v>
      </c>
      <c r="B12" s="66" t="s">
        <v>37</v>
      </c>
      <c r="C12" s="66" t="s">
        <v>663</v>
      </c>
      <c r="D12" s="66"/>
      <c r="E12" s="66"/>
      <c r="F12" s="67" t="n">
        <v>92.14</v>
      </c>
      <c r="G12" s="66" t="s">
        <v>671</v>
      </c>
      <c r="H12" s="66"/>
      <c r="I12" s="66" t="s">
        <v>665</v>
      </c>
    </row>
    <row r="13" customFormat="false" ht="23.85" hidden="false" customHeight="false" outlineLevel="0" collapsed="false">
      <c r="A13" s="66" t="s">
        <v>662</v>
      </c>
      <c r="B13" s="66" t="s">
        <v>34</v>
      </c>
      <c r="C13" s="66" t="s">
        <v>672</v>
      </c>
      <c r="D13" s="66" t="s">
        <v>673</v>
      </c>
      <c r="E13" s="66" t="s">
        <v>674</v>
      </c>
      <c r="F13" s="67" t="n">
        <v>111.79</v>
      </c>
      <c r="G13" s="66" t="s">
        <v>675</v>
      </c>
      <c r="H13" s="66"/>
      <c r="I13" s="66" t="s">
        <v>665</v>
      </c>
    </row>
    <row r="14" customFormat="false" ht="91" hidden="false" customHeight="false" outlineLevel="0" collapsed="false">
      <c r="A14" s="66" t="s">
        <v>676</v>
      </c>
      <c r="B14" s="66" t="s">
        <v>34</v>
      </c>
      <c r="C14" s="66" t="s">
        <v>677</v>
      </c>
      <c r="D14" s="66" t="s">
        <v>678</v>
      </c>
      <c r="E14" s="66" t="s">
        <v>679</v>
      </c>
      <c r="F14" s="67" t="n">
        <v>114.95</v>
      </c>
      <c r="G14" s="66" t="s">
        <v>680</v>
      </c>
      <c r="H14" s="66" t="s">
        <v>681</v>
      </c>
      <c r="I14" s="66" t="s">
        <v>665</v>
      </c>
    </row>
    <row r="15" customFormat="false" ht="46.25" hidden="false" customHeight="false" outlineLevel="0" collapsed="false">
      <c r="A15" s="66" t="s">
        <v>676</v>
      </c>
      <c r="B15" s="66" t="s">
        <v>34</v>
      </c>
      <c r="C15" s="66" t="s">
        <v>595</v>
      </c>
      <c r="D15" s="66" t="s">
        <v>682</v>
      </c>
      <c r="E15" s="66" t="s">
        <v>683</v>
      </c>
      <c r="F15" s="67" t="n">
        <v>114.95</v>
      </c>
      <c r="G15" s="66" t="s">
        <v>684</v>
      </c>
      <c r="H15" s="66" t="s">
        <v>685</v>
      </c>
      <c r="I15" s="66" t="s">
        <v>665</v>
      </c>
    </row>
    <row r="16" customFormat="false" ht="35.05" hidden="false" customHeight="false" outlineLevel="0" collapsed="false">
      <c r="A16" s="66" t="s">
        <v>676</v>
      </c>
      <c r="B16" s="66" t="s">
        <v>34</v>
      </c>
      <c r="C16" s="66" t="s">
        <v>686</v>
      </c>
      <c r="D16" s="66" t="s">
        <v>687</v>
      </c>
      <c r="E16" s="66" t="s">
        <v>688</v>
      </c>
      <c r="F16" s="67" t="n">
        <v>114.95</v>
      </c>
      <c r="G16" s="66" t="s">
        <v>689</v>
      </c>
      <c r="H16" s="66"/>
      <c r="I16" s="66" t="s">
        <v>665</v>
      </c>
    </row>
    <row r="17" customFormat="false" ht="46.25" hidden="false" customHeight="false" outlineLevel="0" collapsed="false">
      <c r="A17" s="66" t="s">
        <v>676</v>
      </c>
      <c r="B17" s="66" t="s">
        <v>29</v>
      </c>
      <c r="C17" s="66" t="s">
        <v>690</v>
      </c>
      <c r="D17" s="66" t="s">
        <v>691</v>
      </c>
      <c r="E17" s="66" t="s">
        <v>692</v>
      </c>
      <c r="F17" s="67" t="n">
        <v>3953.66</v>
      </c>
      <c r="G17" s="66" t="s">
        <v>693</v>
      </c>
      <c r="H17" s="66"/>
      <c r="I17" s="66" t="s">
        <v>665</v>
      </c>
    </row>
    <row r="18" customFormat="false" ht="35.05" hidden="false" customHeight="false" outlineLevel="0" collapsed="false">
      <c r="A18" s="66" t="s">
        <v>676</v>
      </c>
      <c r="B18" s="66" t="s">
        <v>29</v>
      </c>
      <c r="C18" s="66" t="s">
        <v>694</v>
      </c>
      <c r="D18" s="66" t="s">
        <v>695</v>
      </c>
      <c r="E18" s="66" t="s">
        <v>696</v>
      </c>
      <c r="F18" s="67" t="n">
        <v>3953.66</v>
      </c>
      <c r="G18" s="66" t="s">
        <v>697</v>
      </c>
      <c r="H18" s="66" t="s">
        <v>698</v>
      </c>
      <c r="I18" s="66" t="s">
        <v>665</v>
      </c>
    </row>
    <row r="19" customFormat="false" ht="46.25" hidden="false" customHeight="false" outlineLevel="0" collapsed="false">
      <c r="A19" s="66" t="s">
        <v>676</v>
      </c>
      <c r="B19" s="66" t="s">
        <v>20</v>
      </c>
      <c r="C19" s="66" t="s">
        <v>699</v>
      </c>
      <c r="D19" s="66" t="s">
        <v>700</v>
      </c>
      <c r="E19" s="66" t="s">
        <v>701</v>
      </c>
      <c r="F19" s="67" t="n">
        <v>1288.82</v>
      </c>
      <c r="G19" s="66" t="s">
        <v>702</v>
      </c>
      <c r="H19" s="66" t="s">
        <v>703</v>
      </c>
      <c r="I19" s="66" t="s">
        <v>665</v>
      </c>
    </row>
    <row r="20" customFormat="false" ht="23.85" hidden="false" customHeight="false" outlineLevel="0" collapsed="false">
      <c r="A20" s="66" t="s">
        <v>676</v>
      </c>
      <c r="B20" s="66" t="s">
        <v>26</v>
      </c>
      <c r="C20" s="66" t="s">
        <v>235</v>
      </c>
      <c r="D20" s="66" t="s">
        <v>704</v>
      </c>
      <c r="E20" s="66" t="s">
        <v>705</v>
      </c>
      <c r="F20" s="67" t="n">
        <v>584.66</v>
      </c>
      <c r="G20" s="66" t="s">
        <v>706</v>
      </c>
      <c r="H20" s="66"/>
      <c r="I20" s="66" t="s">
        <v>665</v>
      </c>
    </row>
    <row r="21" customFormat="false" ht="35.05" hidden="false" customHeight="false" outlineLevel="0" collapsed="false">
      <c r="A21" s="66" t="s">
        <v>676</v>
      </c>
      <c r="B21" s="66" t="s">
        <v>17</v>
      </c>
      <c r="C21" s="66" t="s">
        <v>707</v>
      </c>
      <c r="D21" s="66" t="s">
        <v>687</v>
      </c>
      <c r="E21" s="66" t="s">
        <v>708</v>
      </c>
      <c r="F21" s="67" t="n">
        <v>392.42</v>
      </c>
      <c r="G21" s="66" t="s">
        <v>709</v>
      </c>
      <c r="H21" s="66" t="s">
        <v>710</v>
      </c>
      <c r="I21" s="66" t="s">
        <v>665</v>
      </c>
    </row>
    <row r="22" customFormat="false" ht="23.85" hidden="false" customHeight="false" outlineLevel="0" collapsed="false">
      <c r="A22" s="66" t="s">
        <v>676</v>
      </c>
      <c r="B22" s="66" t="s">
        <v>31</v>
      </c>
      <c r="C22" s="66" t="s">
        <v>707</v>
      </c>
      <c r="D22" s="66" t="s">
        <v>687</v>
      </c>
      <c r="E22" s="66" t="s">
        <v>711</v>
      </c>
      <c r="F22" s="67" t="n">
        <v>206.05</v>
      </c>
      <c r="G22" s="66" t="s">
        <v>712</v>
      </c>
      <c r="H22" s="66" t="s">
        <v>710</v>
      </c>
      <c r="I22" s="66" t="s">
        <v>665</v>
      </c>
    </row>
    <row r="23" customFormat="false" ht="35.05" hidden="false" customHeight="false" outlineLevel="0" collapsed="false">
      <c r="A23" s="66" t="s">
        <v>676</v>
      </c>
      <c r="B23" s="66" t="s">
        <v>29</v>
      </c>
      <c r="C23" s="66" t="s">
        <v>713</v>
      </c>
      <c r="D23" s="66" t="s">
        <v>714</v>
      </c>
      <c r="E23" s="66" t="s">
        <v>715</v>
      </c>
      <c r="F23" s="67" t="n">
        <v>4188.64</v>
      </c>
      <c r="G23" s="66" t="s">
        <v>716</v>
      </c>
      <c r="H23" s="66"/>
      <c r="I23" s="66" t="s">
        <v>717</v>
      </c>
    </row>
    <row r="24" customFormat="false" ht="57.45" hidden="false" customHeight="false" outlineLevel="0" collapsed="false">
      <c r="A24" s="66" t="s">
        <v>676</v>
      </c>
      <c r="B24" s="66" t="s">
        <v>687</v>
      </c>
      <c r="C24" s="66" t="s">
        <v>718</v>
      </c>
      <c r="D24" s="66" t="s">
        <v>687</v>
      </c>
      <c r="E24" s="66" t="s">
        <v>719</v>
      </c>
      <c r="F24" s="67"/>
      <c r="G24" s="66" t="s">
        <v>720</v>
      </c>
      <c r="H24" s="66" t="s">
        <v>721</v>
      </c>
      <c r="I24" s="66" t="s">
        <v>717</v>
      </c>
    </row>
    <row r="25" customFormat="false" ht="23.85" hidden="false" customHeight="false" outlineLevel="0" collapsed="false">
      <c r="A25" s="66" t="s">
        <v>676</v>
      </c>
      <c r="B25" s="66" t="s">
        <v>29</v>
      </c>
      <c r="C25" s="66" t="s">
        <v>722</v>
      </c>
      <c r="D25" s="66" t="s">
        <v>723</v>
      </c>
      <c r="E25" s="66" t="s">
        <v>724</v>
      </c>
      <c r="F25" s="67" t="n">
        <v>11063.27</v>
      </c>
      <c r="G25" s="66" t="s">
        <v>725</v>
      </c>
      <c r="H25" s="66"/>
      <c r="I25" s="66" t="s">
        <v>665</v>
      </c>
    </row>
    <row r="26" customFormat="false" ht="23.85" hidden="false" customHeight="false" outlineLevel="0" collapsed="false">
      <c r="A26" s="66" t="s">
        <v>676</v>
      </c>
      <c r="B26" s="66" t="s">
        <v>17</v>
      </c>
      <c r="C26" s="66" t="s">
        <v>722</v>
      </c>
      <c r="D26" s="66" t="s">
        <v>726</v>
      </c>
      <c r="E26" s="66" t="s">
        <v>727</v>
      </c>
      <c r="F26" s="67" t="n">
        <v>508.99</v>
      </c>
      <c r="G26" s="66" t="s">
        <v>728</v>
      </c>
      <c r="H26" s="66"/>
      <c r="I26" s="66" t="s">
        <v>665</v>
      </c>
    </row>
    <row r="27" customFormat="false" ht="23.85" hidden="false" customHeight="false" outlineLevel="0" collapsed="false">
      <c r="A27" s="66" t="s">
        <v>676</v>
      </c>
      <c r="B27" s="66" t="s">
        <v>31</v>
      </c>
      <c r="C27" s="66" t="s">
        <v>729</v>
      </c>
      <c r="D27" s="66" t="s">
        <v>730</v>
      </c>
      <c r="E27" s="66" t="s">
        <v>731</v>
      </c>
      <c r="F27" s="67" t="n">
        <v>370.74</v>
      </c>
      <c r="G27" s="66" t="s">
        <v>732</v>
      </c>
      <c r="H27" s="66"/>
      <c r="I27" s="66" t="s">
        <v>665</v>
      </c>
    </row>
    <row r="28" customFormat="false" ht="46.25" hidden="false" customHeight="false" outlineLevel="0" collapsed="false">
      <c r="A28" s="66" t="s">
        <v>676</v>
      </c>
      <c r="B28" s="66" t="s">
        <v>687</v>
      </c>
      <c r="C28" s="66" t="s">
        <v>733</v>
      </c>
      <c r="D28" s="66" t="s">
        <v>687</v>
      </c>
      <c r="E28" s="66" t="s">
        <v>734</v>
      </c>
      <c r="F28" s="67"/>
      <c r="G28" s="66" t="s">
        <v>735</v>
      </c>
      <c r="H28" s="66"/>
      <c r="I28" s="66" t="s">
        <v>717</v>
      </c>
    </row>
    <row r="29" customFormat="false" ht="23.85" hidden="false" customHeight="false" outlineLevel="0" collapsed="false">
      <c r="A29" s="66" t="s">
        <v>676</v>
      </c>
      <c r="B29" s="66" t="s">
        <v>17</v>
      </c>
      <c r="C29" s="66" t="s">
        <v>736</v>
      </c>
      <c r="D29" s="66" t="s">
        <v>727</v>
      </c>
      <c r="E29" s="66" t="s">
        <v>737</v>
      </c>
      <c r="F29" s="67" t="n">
        <v>586.31</v>
      </c>
      <c r="G29" s="66" t="s">
        <v>140</v>
      </c>
      <c r="H29" s="66"/>
      <c r="I29" s="66" t="s">
        <v>665</v>
      </c>
    </row>
    <row r="30" customFormat="false" ht="23.85" hidden="false" customHeight="false" outlineLevel="0" collapsed="false">
      <c r="A30" s="66" t="s">
        <v>676</v>
      </c>
      <c r="B30" s="66" t="s">
        <v>20</v>
      </c>
      <c r="C30" s="66" t="s">
        <v>738</v>
      </c>
      <c r="D30" s="66" t="s">
        <v>739</v>
      </c>
      <c r="E30" s="66" t="s">
        <v>740</v>
      </c>
      <c r="F30" s="67" t="n">
        <v>1932.38</v>
      </c>
      <c r="G30" s="66" t="s">
        <v>244</v>
      </c>
      <c r="H30" s="66"/>
      <c r="I30" s="66" t="s">
        <v>665</v>
      </c>
    </row>
    <row r="31" customFormat="false" ht="46.25" hidden="false" customHeight="false" outlineLevel="0" collapsed="false">
      <c r="A31" s="66" t="s">
        <v>676</v>
      </c>
      <c r="B31" s="66" t="s">
        <v>23</v>
      </c>
      <c r="C31" s="66" t="s">
        <v>741</v>
      </c>
      <c r="D31" s="66" t="s">
        <v>742</v>
      </c>
      <c r="E31" s="66" t="s">
        <v>743</v>
      </c>
      <c r="F31" s="67" t="n">
        <v>1964.06</v>
      </c>
      <c r="G31" s="66" t="s">
        <v>292</v>
      </c>
      <c r="H31" s="66"/>
      <c r="I31" s="66" t="s">
        <v>665</v>
      </c>
    </row>
    <row r="32" customFormat="false" ht="23.85" hidden="false" customHeight="false" outlineLevel="0" collapsed="false">
      <c r="A32" s="66" t="s">
        <v>676</v>
      </c>
      <c r="B32" s="66" t="s">
        <v>26</v>
      </c>
      <c r="C32" s="66" t="s">
        <v>738</v>
      </c>
      <c r="D32" s="66" t="s">
        <v>744</v>
      </c>
      <c r="E32" s="66" t="s">
        <v>745</v>
      </c>
      <c r="F32" s="67" t="n">
        <v>842.54</v>
      </c>
      <c r="G32" s="66" t="s">
        <v>335</v>
      </c>
      <c r="H32" s="66"/>
      <c r="I32" s="66" t="s">
        <v>665</v>
      </c>
    </row>
    <row r="33" customFormat="false" ht="46.25" hidden="false" customHeight="false" outlineLevel="0" collapsed="false">
      <c r="A33" s="66" t="s">
        <v>676</v>
      </c>
      <c r="B33" s="66" t="s">
        <v>29</v>
      </c>
      <c r="C33" s="66" t="s">
        <v>746</v>
      </c>
      <c r="D33" s="66" t="s">
        <v>724</v>
      </c>
      <c r="E33" s="66" t="s">
        <v>747</v>
      </c>
      <c r="F33" s="67" t="n">
        <v>14907.66</v>
      </c>
      <c r="G33" s="66" t="s">
        <v>378</v>
      </c>
      <c r="H33" s="66"/>
      <c r="I33" s="66" t="s">
        <v>665</v>
      </c>
    </row>
    <row r="34" customFormat="false" ht="23.85" hidden="false" customHeight="false" outlineLevel="0" collapsed="false">
      <c r="A34" s="66" t="s">
        <v>676</v>
      </c>
      <c r="B34" s="66" t="s">
        <v>31</v>
      </c>
      <c r="C34" s="66" t="s">
        <v>748</v>
      </c>
      <c r="D34" s="66" t="s">
        <v>731</v>
      </c>
      <c r="E34" s="66" t="s">
        <v>749</v>
      </c>
      <c r="F34" s="67" t="n">
        <v>490.01</v>
      </c>
      <c r="G34" s="66" t="s">
        <v>432</v>
      </c>
      <c r="H34" s="66"/>
      <c r="I34" s="66" t="s">
        <v>665</v>
      </c>
    </row>
    <row r="35" customFormat="false" ht="23.85" hidden="false" customHeight="false" outlineLevel="0" collapsed="false">
      <c r="A35" s="66" t="s">
        <v>676</v>
      </c>
      <c r="B35" s="66" t="s">
        <v>34</v>
      </c>
      <c r="C35" s="66" t="s">
        <v>750</v>
      </c>
      <c r="D35" s="66" t="s">
        <v>751</v>
      </c>
      <c r="E35" s="66" t="s">
        <v>752</v>
      </c>
      <c r="F35" s="67" t="n">
        <v>174.45</v>
      </c>
      <c r="G35" s="66" t="s">
        <v>520</v>
      </c>
      <c r="H35" s="66"/>
      <c r="I35" s="66" t="s">
        <v>665</v>
      </c>
    </row>
    <row r="36" customFormat="false" ht="23.85" hidden="false" customHeight="false" outlineLevel="0" collapsed="false">
      <c r="A36" s="66" t="s">
        <v>676</v>
      </c>
      <c r="B36" s="66" t="s">
        <v>37</v>
      </c>
      <c r="C36" s="66" t="s">
        <v>753</v>
      </c>
      <c r="D36" s="66" t="s">
        <v>754</v>
      </c>
      <c r="E36" s="66" t="s">
        <v>755</v>
      </c>
      <c r="F36" s="67" t="n">
        <v>121.81</v>
      </c>
      <c r="G36" s="66" t="s">
        <v>591</v>
      </c>
      <c r="H36" s="66"/>
      <c r="I36" s="66" t="s">
        <v>665</v>
      </c>
    </row>
    <row r="37" customFormat="false" ht="23.85" hidden="false" customHeight="false" outlineLevel="0" collapsed="false">
      <c r="A37" s="66" t="s">
        <v>676</v>
      </c>
      <c r="B37" s="66" t="s">
        <v>687</v>
      </c>
      <c r="C37" s="66" t="s">
        <v>756</v>
      </c>
      <c r="D37" s="66" t="s">
        <v>757</v>
      </c>
      <c r="E37" s="66" t="s">
        <v>758</v>
      </c>
      <c r="F37" s="67"/>
      <c r="G37" s="66" t="s">
        <v>759</v>
      </c>
      <c r="H37" s="66"/>
      <c r="I37" s="66" t="s">
        <v>717</v>
      </c>
    </row>
    <row r="38" customFormat="false" ht="35.05" hidden="false" customHeight="false" outlineLevel="0" collapsed="false">
      <c r="A38" s="66" t="s">
        <v>676</v>
      </c>
      <c r="B38" s="66" t="s">
        <v>40</v>
      </c>
      <c r="C38" s="66" t="s">
        <v>760</v>
      </c>
      <c r="D38" s="66"/>
      <c r="E38" s="66" t="s">
        <v>761</v>
      </c>
      <c r="F38" s="67" t="n">
        <v>258.09</v>
      </c>
      <c r="G38" s="66" t="s">
        <v>762</v>
      </c>
      <c r="H38" s="66" t="s">
        <v>763</v>
      </c>
      <c r="I38" s="66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2026-10-25T09:36:52Z</dcterms:created>
  <dc:creator>openpyxl</dc:creator>
  <dc:description/>
  <dc:language>en-US</dc:language>
  <cp:lastModifiedBy/>
  <dcterms:modified xsi:type="dcterms:W3CDTF">2026-10-25T09:36:52Z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